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oleObject"/>
  <Default Extension="wmf" ContentType="image/x-wmf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9705" yWindow="-15" windowWidth="9510" windowHeight="12000" firstSheet="3" activeTab="7"/>
  </bookViews>
  <sheets>
    <sheet name="нормальный" sheetId="2" r:id="rId1"/>
    <sheet name="равномерный" sheetId="3" r:id="rId2"/>
    <sheet name="экспоненциальный" sheetId="4" r:id="rId3"/>
    <sheet name="экспоненциальный (2)" sheetId="11" r:id="rId4"/>
    <sheet name="биномиальный" sheetId="5" r:id="rId5"/>
    <sheet name="биномиальный (2)" sheetId="12" r:id="rId6"/>
    <sheet name="Пуассон" sheetId="6" r:id="rId7"/>
    <sheet name="Пуассон (2)" sheetId="13" r:id="rId8"/>
    <sheet name="геометрическое" sheetId="7" r:id="rId9"/>
    <sheet name="гипер_геометрическое" sheetId="9" r:id="rId10"/>
    <sheet name="Лист1" sheetId="10" r:id="rId11"/>
  </sheets>
  <calcPr calcId="145621"/>
</workbook>
</file>

<file path=xl/calcChain.xml><?xml version="1.0" encoding="utf-8"?>
<calcChain xmlns="http://schemas.openxmlformats.org/spreadsheetml/2006/main">
  <c r="B28" i="12" l="1"/>
  <c r="B27" i="12"/>
  <c r="N24" i="13" l="1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O4" i="13" s="1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K4" i="13" s="1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G4" i="13" s="1"/>
  <c r="B24" i="13"/>
  <c r="B21" i="13"/>
  <c r="B22" i="13"/>
  <c r="B23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5" i="13"/>
  <c r="B6" i="13"/>
  <c r="B4" i="13"/>
  <c r="C4" i="13" s="1"/>
  <c r="E1" i="13"/>
  <c r="R23" i="12"/>
  <c r="S23" i="12" s="1"/>
  <c r="R22" i="12"/>
  <c r="S22" i="12" s="1"/>
  <c r="R21" i="12"/>
  <c r="S21" i="12" s="1"/>
  <c r="R20" i="12"/>
  <c r="S20" i="12" s="1"/>
  <c r="R19" i="12"/>
  <c r="S19" i="12" s="1"/>
  <c r="R18" i="12"/>
  <c r="S18" i="12" s="1"/>
  <c r="R17" i="12"/>
  <c r="S17" i="12" s="1"/>
  <c r="R16" i="12"/>
  <c r="S16" i="12" s="1"/>
  <c r="R15" i="12"/>
  <c r="S15" i="12" s="1"/>
  <c r="R14" i="12"/>
  <c r="S14" i="12" s="1"/>
  <c r="R13" i="12"/>
  <c r="S13" i="12" s="1"/>
  <c r="R12" i="12"/>
  <c r="S12" i="12" s="1"/>
  <c r="R11" i="12"/>
  <c r="S11" i="12" s="1"/>
  <c r="R10" i="12"/>
  <c r="S10" i="12" s="1"/>
  <c r="R9" i="12"/>
  <c r="S9" i="12" s="1"/>
  <c r="R8" i="12"/>
  <c r="S8" i="12" s="1"/>
  <c r="R7" i="12"/>
  <c r="S7" i="12" s="1"/>
  <c r="R6" i="12"/>
  <c r="S6" i="12" s="1"/>
  <c r="R5" i="12"/>
  <c r="S5" i="12" s="1"/>
  <c r="R4" i="12"/>
  <c r="S4" i="12" s="1"/>
  <c r="R3" i="12"/>
  <c r="S3" i="12" s="1"/>
  <c r="N23" i="12"/>
  <c r="O23" i="12" s="1"/>
  <c r="N22" i="12"/>
  <c r="O22" i="12" s="1"/>
  <c r="N21" i="12"/>
  <c r="O21" i="12" s="1"/>
  <c r="N20" i="12"/>
  <c r="O20" i="12" s="1"/>
  <c r="N19" i="12"/>
  <c r="O19" i="12" s="1"/>
  <c r="N18" i="12"/>
  <c r="O18" i="12" s="1"/>
  <c r="N17" i="12"/>
  <c r="O17" i="12" s="1"/>
  <c r="N16" i="12"/>
  <c r="O16" i="12" s="1"/>
  <c r="N15" i="12"/>
  <c r="O15" i="12" s="1"/>
  <c r="N14" i="12"/>
  <c r="O14" i="12" s="1"/>
  <c r="N13" i="12"/>
  <c r="O13" i="12" s="1"/>
  <c r="N12" i="12"/>
  <c r="O12" i="12" s="1"/>
  <c r="N11" i="12"/>
  <c r="O11" i="12" s="1"/>
  <c r="N10" i="12"/>
  <c r="O10" i="12" s="1"/>
  <c r="N9" i="12"/>
  <c r="O9" i="12" s="1"/>
  <c r="N8" i="12"/>
  <c r="O8" i="12" s="1"/>
  <c r="N7" i="12"/>
  <c r="O7" i="12" s="1"/>
  <c r="N6" i="12"/>
  <c r="O6" i="12" s="1"/>
  <c r="N5" i="12"/>
  <c r="O5" i="12" s="1"/>
  <c r="N4" i="12"/>
  <c r="O4" i="12" s="1"/>
  <c r="N3" i="12"/>
  <c r="O3" i="12" s="1"/>
  <c r="J23" i="12"/>
  <c r="K23" i="12" s="1"/>
  <c r="J22" i="12"/>
  <c r="K22" i="12" s="1"/>
  <c r="J21" i="12"/>
  <c r="K21" i="12" s="1"/>
  <c r="J20" i="12"/>
  <c r="K20" i="12" s="1"/>
  <c r="J19" i="12"/>
  <c r="K19" i="12" s="1"/>
  <c r="J18" i="12"/>
  <c r="K18" i="12" s="1"/>
  <c r="J17" i="12"/>
  <c r="K17" i="12" s="1"/>
  <c r="J16" i="12"/>
  <c r="K16" i="12" s="1"/>
  <c r="J15" i="12"/>
  <c r="K15" i="12" s="1"/>
  <c r="J14" i="12"/>
  <c r="K14" i="12" s="1"/>
  <c r="J13" i="12"/>
  <c r="K13" i="12" s="1"/>
  <c r="J12" i="12"/>
  <c r="K12" i="12" s="1"/>
  <c r="J11" i="12"/>
  <c r="K11" i="12" s="1"/>
  <c r="J10" i="12"/>
  <c r="K10" i="12" s="1"/>
  <c r="J9" i="12"/>
  <c r="K9" i="12" s="1"/>
  <c r="J8" i="12"/>
  <c r="K8" i="12" s="1"/>
  <c r="J7" i="12"/>
  <c r="K7" i="12" s="1"/>
  <c r="J6" i="12"/>
  <c r="K6" i="12" s="1"/>
  <c r="J5" i="12"/>
  <c r="K5" i="12" s="1"/>
  <c r="J4" i="12"/>
  <c r="K4" i="12" s="1"/>
  <c r="J3" i="12"/>
  <c r="K3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F12" i="12"/>
  <c r="G12" i="12" s="1"/>
  <c r="F11" i="12"/>
  <c r="G11" i="12" s="1"/>
  <c r="F10" i="12"/>
  <c r="G10" i="12" s="1"/>
  <c r="F9" i="12"/>
  <c r="G9" i="12" s="1"/>
  <c r="F8" i="12"/>
  <c r="G8" i="12" s="1"/>
  <c r="F7" i="12"/>
  <c r="G7" i="12" s="1"/>
  <c r="F6" i="12"/>
  <c r="G6" i="12" s="1"/>
  <c r="F5" i="12"/>
  <c r="G5" i="12" s="1"/>
  <c r="F4" i="12"/>
  <c r="G4" i="12" s="1"/>
  <c r="F3" i="12"/>
  <c r="G3" i="12" s="1"/>
  <c r="B4" i="12"/>
  <c r="C4" i="12" s="1"/>
  <c r="B5" i="12"/>
  <c r="C5" i="12" s="1"/>
  <c r="B6" i="12"/>
  <c r="C6" i="12" s="1"/>
  <c r="B7" i="12"/>
  <c r="C7" i="12" s="1"/>
  <c r="B8" i="12"/>
  <c r="C8" i="12" s="1"/>
  <c r="B9" i="12"/>
  <c r="C9" i="12" s="1"/>
  <c r="B10" i="12"/>
  <c r="C10" i="12" s="1"/>
  <c r="B11" i="12"/>
  <c r="C11" i="12" s="1"/>
  <c r="B12" i="12"/>
  <c r="C12" i="12" s="1"/>
  <c r="B13" i="12"/>
  <c r="C13" i="12" s="1"/>
  <c r="B14" i="12"/>
  <c r="C14" i="12" s="1"/>
  <c r="B15" i="12"/>
  <c r="C15" i="12" s="1"/>
  <c r="B16" i="12"/>
  <c r="C16" i="12" s="1"/>
  <c r="B17" i="12"/>
  <c r="C17" i="12" s="1"/>
  <c r="B18" i="12"/>
  <c r="C18" i="12" s="1"/>
  <c r="B19" i="12"/>
  <c r="C19" i="12" s="1"/>
  <c r="B20" i="12"/>
  <c r="C20" i="12" s="1"/>
  <c r="B21" i="12"/>
  <c r="C21" i="12" s="1"/>
  <c r="B22" i="12"/>
  <c r="C22" i="12" s="1"/>
  <c r="B23" i="12"/>
  <c r="C23" i="12" s="1"/>
  <c r="B3" i="12"/>
  <c r="C3" i="12" s="1"/>
  <c r="C5" i="13" l="1"/>
  <c r="D4" i="13" s="1"/>
  <c r="G5" i="13"/>
  <c r="O5" i="13"/>
  <c r="K5" i="13"/>
  <c r="S24" i="12"/>
  <c r="M26" i="12" s="1"/>
  <c r="O24" i="12"/>
  <c r="L26" i="12" s="1"/>
  <c r="G24" i="12"/>
  <c r="J26" i="12" s="1"/>
  <c r="K24" i="12"/>
  <c r="K26" i="12" s="1"/>
  <c r="C24" i="12"/>
  <c r="I26" i="12" s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B6" i="11"/>
  <c r="B2" i="11"/>
  <c r="C2" i="11" s="1"/>
  <c r="B10" i="11"/>
  <c r="B15" i="11"/>
  <c r="B14" i="11"/>
  <c r="B16" i="11"/>
  <c r="B7" i="11"/>
  <c r="B11" i="11"/>
  <c r="B9" i="11"/>
  <c r="B4" i="11"/>
  <c r="B20" i="11"/>
  <c r="B18" i="11"/>
  <c r="B17" i="11"/>
  <c r="B5" i="11"/>
  <c r="B19" i="11"/>
  <c r="B3" i="11"/>
  <c r="B12" i="11"/>
  <c r="B8" i="11"/>
  <c r="B13" i="11"/>
  <c r="F2" i="11"/>
  <c r="N3" i="3"/>
  <c r="N16" i="3"/>
  <c r="N17" i="3"/>
  <c r="N18" i="3"/>
  <c r="B16" i="3"/>
  <c r="C16" i="3"/>
  <c r="B17" i="3"/>
  <c r="C17" i="3"/>
  <c r="B18" i="3"/>
  <c r="C18" i="3"/>
  <c r="N4" i="3"/>
  <c r="N5" i="3"/>
  <c r="N6" i="3"/>
  <c r="N7" i="3"/>
  <c r="N8" i="3"/>
  <c r="N9" i="3"/>
  <c r="N10" i="3"/>
  <c r="N11" i="3"/>
  <c r="N12" i="3"/>
  <c r="N13" i="3"/>
  <c r="N14" i="3"/>
  <c r="N15" i="3"/>
  <c r="J27" i="12" l="1"/>
  <c r="M24" i="2"/>
  <c r="O6" i="13"/>
  <c r="P5" i="13" s="1"/>
  <c r="P4" i="13"/>
  <c r="K6" i="13"/>
  <c r="L4" i="13"/>
  <c r="G6" i="13"/>
  <c r="H4" i="13"/>
  <c r="C6" i="13"/>
  <c r="C15" i="11"/>
  <c r="C7" i="11"/>
  <c r="C5" i="11"/>
  <c r="C16" i="11"/>
  <c r="C9" i="11"/>
  <c r="C17" i="11"/>
  <c r="C4" i="11"/>
  <c r="C11" i="11"/>
  <c r="C3" i="11"/>
  <c r="C6" i="11"/>
  <c r="C13" i="11"/>
  <c r="C20" i="11"/>
  <c r="C19" i="11"/>
  <c r="C14" i="11"/>
  <c r="C10" i="11"/>
  <c r="C12" i="11"/>
  <c r="C8" i="11"/>
  <c r="C18" i="11"/>
  <c r="N19" i="3"/>
  <c r="C11" i="9"/>
  <c r="D11" i="9"/>
  <c r="E11" i="9"/>
  <c r="F11" i="9"/>
  <c r="G11" i="9"/>
  <c r="H11" i="9"/>
  <c r="B11" i="9"/>
  <c r="B10" i="9"/>
  <c r="C10" i="9"/>
  <c r="D10" i="9"/>
  <c r="E10" i="9"/>
  <c r="F10" i="9"/>
  <c r="G10" i="9"/>
  <c r="H10" i="9"/>
  <c r="C6" i="9"/>
  <c r="D6" i="9"/>
  <c r="E6" i="9"/>
  <c r="F6" i="9"/>
  <c r="G6" i="9"/>
  <c r="H6" i="9"/>
  <c r="C7" i="9"/>
  <c r="D7" i="9"/>
  <c r="E7" i="9"/>
  <c r="F7" i="9"/>
  <c r="G7" i="9"/>
  <c r="H7" i="9"/>
  <c r="C8" i="9"/>
  <c r="C9" i="9" s="1"/>
  <c r="D8" i="9"/>
  <c r="E8" i="9"/>
  <c r="F8" i="9"/>
  <c r="F9" i="9" s="1"/>
  <c r="G8" i="9"/>
  <c r="H8" i="9"/>
  <c r="G9" i="9"/>
  <c r="B15" i="9"/>
  <c r="B14" i="9"/>
  <c r="B8" i="9"/>
  <c r="B9" i="9" s="1"/>
  <c r="B7" i="9"/>
  <c r="B6" i="9"/>
  <c r="C2" i="7"/>
  <c r="B2" i="7" s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L2" i="6"/>
  <c r="L21" i="6"/>
  <c r="L2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B2" i="6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C2" i="6"/>
  <c r="O27" i="12" l="1"/>
  <c r="Q27" i="12"/>
  <c r="R27" i="12"/>
  <c r="S27" i="12"/>
  <c r="P27" i="12"/>
  <c r="N2" i="2"/>
  <c r="N5" i="2"/>
  <c r="N9" i="2"/>
  <c r="N13" i="2"/>
  <c r="N17" i="2"/>
  <c r="N21" i="2"/>
  <c r="N7" i="2"/>
  <c r="N11" i="2"/>
  <c r="N19" i="2"/>
  <c r="N4" i="2"/>
  <c r="N12" i="2"/>
  <c r="N20" i="2"/>
  <c r="N6" i="2"/>
  <c r="N10" i="2"/>
  <c r="N14" i="2"/>
  <c r="N18" i="2"/>
  <c r="N22" i="2"/>
  <c r="N3" i="2"/>
  <c r="N15" i="2"/>
  <c r="N23" i="2"/>
  <c r="N8" i="2"/>
  <c r="N16" i="2"/>
  <c r="O7" i="13"/>
  <c r="K7" i="13"/>
  <c r="L5" i="13"/>
  <c r="G7" i="13"/>
  <c r="H5" i="13"/>
  <c r="C7" i="13"/>
  <c r="D5" i="13"/>
  <c r="C21" i="11"/>
  <c r="D4" i="11" s="1"/>
  <c r="O3" i="3"/>
  <c r="O4" i="3"/>
  <c r="O8" i="3"/>
  <c r="O12" i="3"/>
  <c r="O16" i="3"/>
  <c r="O5" i="3"/>
  <c r="O9" i="3"/>
  <c r="O13" i="3"/>
  <c r="O17" i="3"/>
  <c r="O14" i="3"/>
  <c r="O6" i="3"/>
  <c r="O7" i="3"/>
  <c r="O11" i="3"/>
  <c r="O15" i="3"/>
  <c r="O10" i="3"/>
  <c r="O18" i="3"/>
  <c r="E9" i="9"/>
  <c r="B13" i="9" s="1"/>
  <c r="H9" i="9"/>
  <c r="D9" i="9"/>
  <c r="B3" i="7"/>
  <c r="B11" i="7"/>
  <c r="B6" i="7"/>
  <c r="B7" i="7"/>
  <c r="B19" i="7"/>
  <c r="B15" i="7"/>
  <c r="B18" i="7"/>
  <c r="B14" i="7"/>
  <c r="B10" i="7"/>
  <c r="B21" i="7"/>
  <c r="B17" i="7"/>
  <c r="B13" i="7"/>
  <c r="B9" i="7"/>
  <c r="B5" i="7"/>
  <c r="B20" i="7"/>
  <c r="B16" i="7"/>
  <c r="B12" i="7"/>
  <c r="B8" i="7"/>
  <c r="B4" i="7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J2" i="4"/>
  <c r="E2" i="4"/>
  <c r="C3" i="4" s="1"/>
  <c r="J28" i="12" l="1"/>
  <c r="N25" i="2"/>
  <c r="O8" i="13"/>
  <c r="P7" i="13" s="1"/>
  <c r="P6" i="13"/>
  <c r="K8" i="13"/>
  <c r="L6" i="13"/>
  <c r="G8" i="13"/>
  <c r="H6" i="13"/>
  <c r="C8" i="13"/>
  <c r="D6" i="13"/>
  <c r="D15" i="11"/>
  <c r="D17" i="11"/>
  <c r="D7" i="11"/>
  <c r="D9" i="11"/>
  <c r="D18" i="11"/>
  <c r="D20" i="11"/>
  <c r="D10" i="11"/>
  <c r="D12" i="11"/>
  <c r="D19" i="11"/>
  <c r="D3" i="11"/>
  <c r="D6" i="11"/>
  <c r="D5" i="11"/>
  <c r="D8" i="11"/>
  <c r="D11" i="11"/>
  <c r="D14" i="11"/>
  <c r="D13" i="11"/>
  <c r="D16" i="11"/>
  <c r="D2" i="11"/>
  <c r="O20" i="3"/>
  <c r="C20" i="4"/>
  <c r="C18" i="4"/>
  <c r="C16" i="4"/>
  <c r="K19" i="4"/>
  <c r="K15" i="4"/>
  <c r="K11" i="4"/>
  <c r="K7" i="4"/>
  <c r="K3" i="4"/>
  <c r="J17" i="4"/>
  <c r="J13" i="4"/>
  <c r="J9" i="4"/>
  <c r="J5" i="4"/>
  <c r="B20" i="4"/>
  <c r="B18" i="4"/>
  <c r="B16" i="4"/>
  <c r="K18" i="4"/>
  <c r="K14" i="4"/>
  <c r="K10" i="4"/>
  <c r="K6" i="4"/>
  <c r="J20" i="4"/>
  <c r="J16" i="4"/>
  <c r="J12" i="4"/>
  <c r="J8" i="4"/>
  <c r="J4" i="4"/>
  <c r="C19" i="4"/>
  <c r="C17" i="4"/>
  <c r="K2" i="4"/>
  <c r="K17" i="4"/>
  <c r="K13" i="4"/>
  <c r="K9" i="4"/>
  <c r="K5" i="4"/>
  <c r="J19" i="4"/>
  <c r="J15" i="4"/>
  <c r="J11" i="4"/>
  <c r="J7" i="4"/>
  <c r="J3" i="4"/>
  <c r="B19" i="4"/>
  <c r="B17" i="4"/>
  <c r="K20" i="4"/>
  <c r="K16" i="4"/>
  <c r="K12" i="4"/>
  <c r="K8" i="4"/>
  <c r="K4" i="4"/>
  <c r="J18" i="4"/>
  <c r="J14" i="4"/>
  <c r="J10" i="4"/>
  <c r="J6" i="4"/>
  <c r="B2" i="4"/>
  <c r="B12" i="4"/>
  <c r="B8" i="4"/>
  <c r="B4" i="4"/>
  <c r="C6" i="4"/>
  <c r="C5" i="4"/>
  <c r="C14" i="4"/>
  <c r="C10" i="4"/>
  <c r="B15" i="4"/>
  <c r="B11" i="4"/>
  <c r="B7" i="4"/>
  <c r="B3" i="4"/>
  <c r="C13" i="4"/>
  <c r="C9" i="4"/>
  <c r="B14" i="4"/>
  <c r="B10" i="4"/>
  <c r="B6" i="4"/>
  <c r="C2" i="4"/>
  <c r="C12" i="4"/>
  <c r="C8" i="4"/>
  <c r="C4" i="4"/>
  <c r="B13" i="4"/>
  <c r="B9" i="4"/>
  <c r="B5" i="4"/>
  <c r="C15" i="4"/>
  <c r="C11" i="4"/>
  <c r="C7" i="4"/>
  <c r="B3" i="3"/>
  <c r="C3" i="3"/>
  <c r="C4" i="3"/>
  <c r="C6" i="3"/>
  <c r="C7" i="3"/>
  <c r="C8" i="3"/>
  <c r="C9" i="3"/>
  <c r="C10" i="3"/>
  <c r="C11" i="3"/>
  <c r="C12" i="3"/>
  <c r="C13" i="3"/>
  <c r="C14" i="3"/>
  <c r="C15" i="3"/>
  <c r="C5" i="3"/>
  <c r="B4" i="3"/>
  <c r="B5" i="3"/>
  <c r="B6" i="3"/>
  <c r="B7" i="3"/>
  <c r="B8" i="3"/>
  <c r="B9" i="3"/>
  <c r="B10" i="3"/>
  <c r="B11" i="3"/>
  <c r="B12" i="3"/>
  <c r="B13" i="3"/>
  <c r="B14" i="3"/>
  <c r="B15" i="3"/>
  <c r="O9" i="13" l="1"/>
  <c r="P8" i="13" s="1"/>
  <c r="K9" i="13"/>
  <c r="L7" i="13"/>
  <c r="G9" i="13"/>
  <c r="H7" i="13"/>
  <c r="C9" i="13"/>
  <c r="D7" i="13"/>
  <c r="D22" i="11"/>
  <c r="O10" i="13" l="1"/>
  <c r="P9" i="13" s="1"/>
  <c r="K10" i="13"/>
  <c r="L8" i="13"/>
  <c r="G10" i="13"/>
  <c r="H8" i="13"/>
  <c r="C10" i="13"/>
  <c r="D8" i="13"/>
  <c r="O11" i="13" l="1"/>
  <c r="P10" i="13" s="1"/>
  <c r="K11" i="13"/>
  <c r="L9" i="13"/>
  <c r="G11" i="13"/>
  <c r="H9" i="13"/>
  <c r="C11" i="13"/>
  <c r="D9" i="13"/>
  <c r="O12" i="13" l="1"/>
  <c r="P11" i="13" s="1"/>
  <c r="K12" i="13"/>
  <c r="L11" i="13" s="1"/>
  <c r="L10" i="13"/>
  <c r="G12" i="13"/>
  <c r="H10" i="13"/>
  <c r="C12" i="13"/>
  <c r="D10" i="13"/>
  <c r="O13" i="13" l="1"/>
  <c r="P12" i="13" s="1"/>
  <c r="K13" i="13"/>
  <c r="L12" i="13" s="1"/>
  <c r="G13" i="13"/>
  <c r="H11" i="13"/>
  <c r="C13" i="13"/>
  <c r="D11" i="13"/>
  <c r="O14" i="13" l="1"/>
  <c r="P13" i="13" s="1"/>
  <c r="K14" i="13"/>
  <c r="L13" i="13" s="1"/>
  <c r="G14" i="13"/>
  <c r="H12" i="13"/>
  <c r="C14" i="13"/>
  <c r="D12" i="13"/>
  <c r="O15" i="13" l="1"/>
  <c r="P14" i="13" s="1"/>
  <c r="K15" i="13"/>
  <c r="L14" i="13" s="1"/>
  <c r="G15" i="13"/>
  <c r="H13" i="13"/>
  <c r="C15" i="13"/>
  <c r="D13" i="13"/>
  <c r="O16" i="13" l="1"/>
  <c r="P15" i="13" s="1"/>
  <c r="K16" i="13"/>
  <c r="L15" i="13" s="1"/>
  <c r="G16" i="13"/>
  <c r="H15" i="13" s="1"/>
  <c r="H14" i="13"/>
  <c r="C16" i="13"/>
  <c r="D14" i="13"/>
  <c r="O17" i="13" l="1"/>
  <c r="P16" i="13" s="1"/>
  <c r="K17" i="13"/>
  <c r="L16" i="13" s="1"/>
  <c r="G17" i="13"/>
  <c r="H16" i="13" s="1"/>
  <c r="C17" i="13"/>
  <c r="D15" i="13"/>
  <c r="O18" i="13" l="1"/>
  <c r="P17" i="13" s="1"/>
  <c r="K18" i="13"/>
  <c r="L17" i="13" s="1"/>
  <c r="G18" i="13"/>
  <c r="H17" i="13" s="1"/>
  <c r="C18" i="13"/>
  <c r="D16" i="13"/>
  <c r="O19" i="13" l="1"/>
  <c r="P18" i="13" s="1"/>
  <c r="K19" i="13"/>
  <c r="L18" i="13" s="1"/>
  <c r="G19" i="13"/>
  <c r="H18" i="13" s="1"/>
  <c r="C19" i="13"/>
  <c r="D18" i="13" s="1"/>
  <c r="D17" i="13"/>
  <c r="O20" i="13" l="1"/>
  <c r="P19" i="13"/>
  <c r="K20" i="13"/>
  <c r="L19" i="13"/>
  <c r="G20" i="13"/>
  <c r="H19" i="13"/>
  <c r="C20" i="13"/>
  <c r="D19" i="13"/>
  <c r="O21" i="13" l="1"/>
  <c r="P20" i="13" s="1"/>
  <c r="K21" i="13"/>
  <c r="L20" i="13"/>
  <c r="G21" i="13"/>
  <c r="H20" i="13"/>
  <c r="C21" i="13"/>
  <c r="D20" i="13"/>
  <c r="O22" i="13" l="1"/>
  <c r="P21" i="13"/>
  <c r="K22" i="13"/>
  <c r="L21" i="13"/>
  <c r="G22" i="13"/>
  <c r="H21" i="13"/>
  <c r="C22" i="13"/>
  <c r="D21" i="13"/>
  <c r="O23" i="13" l="1"/>
  <c r="P22" i="13"/>
  <c r="K23" i="13"/>
  <c r="L22" i="13"/>
  <c r="G23" i="13"/>
  <c r="H22" i="13"/>
  <c r="C23" i="13"/>
  <c r="D22" i="13"/>
  <c r="O24" i="13" l="1"/>
  <c r="P24" i="13" s="1"/>
  <c r="P23" i="13"/>
  <c r="K24" i="13"/>
  <c r="L24" i="13" s="1"/>
  <c r="L23" i="13"/>
  <c r="G24" i="13"/>
  <c r="H24" i="13" s="1"/>
  <c r="H23" i="13"/>
  <c r="C24" i="13"/>
  <c r="D24" i="13" s="1"/>
  <c r="D23" i="13"/>
  <c r="H26" i="13" l="1"/>
  <c r="P26" i="13"/>
  <c r="L26" i="13"/>
  <c r="D26" i="13"/>
  <c r="E30" i="13" l="1"/>
</calcChain>
</file>

<file path=xl/sharedStrings.xml><?xml version="1.0" encoding="utf-8"?>
<sst xmlns="http://schemas.openxmlformats.org/spreadsheetml/2006/main" count="109" uniqueCount="55">
  <si>
    <t>x</t>
  </si>
  <si>
    <t>f(x)</t>
  </si>
  <si>
    <t>F(x)</t>
  </si>
  <si>
    <t>a=</t>
  </si>
  <si>
    <t>b=</t>
  </si>
  <si>
    <t xml:space="preserve">x </t>
  </si>
  <si>
    <t>𝛗(x)</t>
  </si>
  <si>
    <t>Отсюда λ =</t>
  </si>
  <si>
    <r>
      <t>М(Х)=1/</t>
    </r>
    <r>
      <rPr>
        <b/>
        <i/>
        <sz val="14"/>
        <color rgb="FF000000"/>
        <rFont val="Times New Roman"/>
        <family val="1"/>
        <charset val="204"/>
      </rPr>
      <t xml:space="preserve"> λ</t>
    </r>
    <r>
      <rPr>
        <b/>
        <sz val="14"/>
        <color rgb="FF000000"/>
        <rFont val="Times New Roman"/>
        <family val="1"/>
        <charset val="204"/>
      </rPr>
      <t xml:space="preserve"> =</t>
    </r>
  </si>
  <si>
    <t>𝛅=</t>
  </si>
  <si>
    <t>x    (число успехов)</t>
  </si>
  <si>
    <r>
      <t>Число испытаний</t>
    </r>
    <r>
      <rPr>
        <b/>
        <sz val="24"/>
        <color theme="1"/>
        <rFont val="Times New Roman"/>
        <family val="1"/>
        <charset val="204"/>
      </rPr>
      <t xml:space="preserve"> n=</t>
    </r>
  </si>
  <si>
    <r>
      <t>Вероятность успеха</t>
    </r>
    <r>
      <rPr>
        <b/>
        <sz val="20"/>
        <color theme="1"/>
        <rFont val="Times New Roman"/>
        <family val="1"/>
        <charset val="204"/>
      </rPr>
      <t xml:space="preserve"> P=</t>
    </r>
  </si>
  <si>
    <r>
      <t>Среднее</t>
    </r>
    <r>
      <rPr>
        <b/>
        <sz val="24"/>
        <color theme="1"/>
        <rFont val="Times New Roman"/>
        <family val="1"/>
        <charset val="204"/>
      </rPr>
      <t xml:space="preserve"> </t>
    </r>
    <r>
      <rPr>
        <b/>
        <sz val="24"/>
        <color theme="1"/>
        <rFont val="Calibri"/>
        <family val="2"/>
        <charset val="204"/>
      </rPr>
      <t>λ</t>
    </r>
    <r>
      <rPr>
        <b/>
        <sz val="24"/>
        <color theme="1"/>
        <rFont val="Times New Roman"/>
        <family val="1"/>
        <charset val="204"/>
      </rPr>
      <t>=</t>
    </r>
  </si>
  <si>
    <t>m               (к-во событий)</t>
  </si>
  <si>
    <r>
      <rPr>
        <b/>
        <sz val="24"/>
        <color theme="1"/>
        <rFont val="Calibri"/>
        <family val="2"/>
        <charset val="204"/>
      </rPr>
      <t>p</t>
    </r>
    <r>
      <rPr>
        <b/>
        <sz val="24"/>
        <color theme="1"/>
        <rFont val="Times New Roman"/>
        <family val="1"/>
        <charset val="204"/>
      </rPr>
      <t>=</t>
    </r>
  </si>
  <si>
    <r>
      <rPr>
        <b/>
        <i/>
        <sz val="26"/>
        <color rgb="FFFF0000"/>
        <rFont val="Times New Roman"/>
        <family val="1"/>
        <charset val="204"/>
      </rPr>
      <t>P(X=m) = pq</t>
    </r>
    <r>
      <rPr>
        <b/>
        <i/>
        <vertAlign val="superscript"/>
        <sz val="26"/>
        <color rgb="FFFF0000"/>
        <rFont val="Times New Roman"/>
        <family val="1"/>
        <charset val="204"/>
      </rPr>
      <t>m-1</t>
    </r>
  </si>
  <si>
    <t>M(X) = nM/N =</t>
  </si>
  <si>
    <r>
      <t>Общее число вариантов заполнения карточек C</t>
    </r>
    <r>
      <rPr>
        <vertAlign val="subscript"/>
        <sz val="14"/>
        <color indexed="8"/>
        <rFont val="Times New Roman"/>
        <family val="1"/>
        <charset val="204"/>
      </rPr>
      <t>N</t>
    </r>
    <r>
      <rPr>
        <vertAlign val="superscript"/>
        <sz val="14"/>
        <color indexed="8"/>
        <rFont val="Times New Roman"/>
        <family val="1"/>
        <charset val="204"/>
      </rPr>
      <t>n</t>
    </r>
    <r>
      <rPr>
        <sz val="14"/>
        <color indexed="8"/>
        <rFont val="Times New Roman"/>
        <family val="1"/>
        <charset val="204"/>
      </rPr>
      <t xml:space="preserve"> = </t>
    </r>
  </si>
  <si>
    <r>
      <t>число способов выбора m номеров из общего числа выигрышных номеров C</t>
    </r>
    <r>
      <rPr>
        <vertAlign val="subscript"/>
        <sz val="14"/>
        <color indexed="8"/>
        <rFont val="Times New Roman"/>
        <family val="1"/>
        <charset val="204"/>
      </rPr>
      <t>M</t>
    </r>
    <r>
      <rPr>
        <vertAlign val="superscript"/>
        <sz val="14"/>
        <color indexed="8"/>
        <rFont val="Times New Roman"/>
        <family val="1"/>
        <charset val="204"/>
      </rPr>
      <t>m</t>
    </r>
  </si>
  <si>
    <r>
      <t>число комбинаций  n-m невыигравших номеров из N-M видов спорта C</t>
    </r>
    <r>
      <rPr>
        <vertAlign val="subscript"/>
        <sz val="14"/>
        <color indexed="8"/>
        <rFont val="Times New Roman"/>
        <family val="1"/>
        <charset val="204"/>
      </rPr>
      <t>N-M</t>
    </r>
    <r>
      <rPr>
        <sz val="14"/>
        <color indexed="8"/>
        <rFont val="Times New Roman"/>
        <family val="1"/>
        <charset val="204"/>
      </rPr>
      <t xml:space="preserve"> </t>
    </r>
    <r>
      <rPr>
        <vertAlign val="superscript"/>
        <sz val="14"/>
        <color indexed="8"/>
        <rFont val="Times New Roman"/>
        <family val="1"/>
        <charset val="204"/>
      </rPr>
      <t>n-m</t>
    </r>
  </si>
  <si>
    <r>
      <t>P(A) =C</t>
    </r>
    <r>
      <rPr>
        <b/>
        <i/>
        <vertAlign val="subscript"/>
        <sz val="18"/>
        <color indexed="8"/>
        <rFont val="Times New Roman"/>
        <family val="1"/>
        <charset val="204"/>
      </rPr>
      <t>M</t>
    </r>
    <r>
      <rPr>
        <b/>
        <i/>
        <vertAlign val="superscript"/>
        <sz val="18"/>
        <color indexed="8"/>
        <rFont val="Times New Roman"/>
        <family val="1"/>
        <charset val="204"/>
      </rPr>
      <t>m</t>
    </r>
    <r>
      <rPr>
        <b/>
        <i/>
        <sz val="18"/>
        <color indexed="8"/>
        <rFont val="Times New Roman"/>
        <family val="1"/>
        <charset val="204"/>
      </rPr>
      <t>* C</t>
    </r>
    <r>
      <rPr>
        <b/>
        <i/>
        <vertAlign val="subscript"/>
        <sz val="18"/>
        <color indexed="8"/>
        <rFont val="Times New Roman"/>
        <family val="1"/>
        <charset val="204"/>
      </rPr>
      <t>N-M</t>
    </r>
    <r>
      <rPr>
        <b/>
        <i/>
        <sz val="18"/>
        <color indexed="8"/>
        <rFont val="Times New Roman"/>
        <family val="1"/>
        <charset val="204"/>
      </rPr>
      <t xml:space="preserve"> </t>
    </r>
    <r>
      <rPr>
        <b/>
        <i/>
        <vertAlign val="superscript"/>
        <sz val="18"/>
        <color indexed="8"/>
        <rFont val="Times New Roman"/>
        <family val="1"/>
        <charset val="204"/>
      </rPr>
      <t>n-m</t>
    </r>
    <r>
      <rPr>
        <b/>
        <i/>
        <sz val="18"/>
        <color indexed="8"/>
        <rFont val="Times New Roman"/>
        <family val="1"/>
        <charset val="204"/>
      </rPr>
      <t>/C</t>
    </r>
    <r>
      <rPr>
        <b/>
        <i/>
        <vertAlign val="subscript"/>
        <sz val="18"/>
        <color indexed="8"/>
        <rFont val="Times New Roman"/>
        <family val="1"/>
        <charset val="204"/>
      </rPr>
      <t>N</t>
    </r>
    <r>
      <rPr>
        <b/>
        <i/>
        <vertAlign val="superscript"/>
        <sz val="18"/>
        <color indexed="8"/>
        <rFont val="Times New Roman"/>
        <family val="1"/>
        <charset val="204"/>
      </rPr>
      <t>n</t>
    </r>
    <r>
      <rPr>
        <b/>
        <i/>
        <sz val="18"/>
        <color indexed="8"/>
        <rFont val="Times New Roman"/>
        <family val="1"/>
        <charset val="204"/>
      </rPr>
      <t xml:space="preserve"> =</t>
    </r>
  </si>
  <si>
    <r>
      <t>P(3</t>
    </r>
    <r>
      <rPr>
        <b/>
        <i/>
        <sz val="14"/>
        <color indexed="8"/>
        <rFont val="Calibri"/>
        <family val="2"/>
        <charset val="204"/>
      </rPr>
      <t>≤X≤6)= p(X</t>
    </r>
    <r>
      <rPr>
        <b/>
        <i/>
        <vertAlign val="subscript"/>
        <sz val="14"/>
        <color indexed="8"/>
        <rFont val="Calibri"/>
        <family val="2"/>
        <charset val="204"/>
      </rPr>
      <t>3</t>
    </r>
    <r>
      <rPr>
        <b/>
        <i/>
        <sz val="14"/>
        <color indexed="8"/>
        <rFont val="Calibri"/>
        <family val="2"/>
        <charset val="204"/>
      </rPr>
      <t>)+p(X</t>
    </r>
    <r>
      <rPr>
        <b/>
        <i/>
        <vertAlign val="subscript"/>
        <sz val="14"/>
        <color indexed="8"/>
        <rFont val="Calibri"/>
        <family val="2"/>
        <charset val="204"/>
      </rPr>
      <t>4</t>
    </r>
    <r>
      <rPr>
        <b/>
        <i/>
        <sz val="14"/>
        <color indexed="8"/>
        <rFont val="Calibri"/>
        <family val="2"/>
        <charset val="204"/>
      </rPr>
      <t>)+p(X</t>
    </r>
    <r>
      <rPr>
        <b/>
        <i/>
        <vertAlign val="subscript"/>
        <sz val="14"/>
        <color indexed="8"/>
        <rFont val="Calibri"/>
        <family val="2"/>
        <charset val="204"/>
      </rPr>
      <t>5</t>
    </r>
    <r>
      <rPr>
        <b/>
        <i/>
        <sz val="14"/>
        <color indexed="8"/>
        <rFont val="Calibri"/>
        <family val="2"/>
        <charset val="204"/>
      </rPr>
      <t>)+p(X</t>
    </r>
    <r>
      <rPr>
        <b/>
        <i/>
        <vertAlign val="subscript"/>
        <sz val="14"/>
        <color indexed="8"/>
        <rFont val="Calibri"/>
        <family val="2"/>
        <charset val="204"/>
      </rPr>
      <t>6</t>
    </r>
    <r>
      <rPr>
        <b/>
        <i/>
        <sz val="14"/>
        <color indexed="8"/>
        <rFont val="Calibri"/>
        <family val="2"/>
        <charset val="204"/>
      </rPr>
      <t xml:space="preserve">) = </t>
    </r>
  </si>
  <si>
    <r>
      <t>число видов спорта</t>
    </r>
    <r>
      <rPr>
        <b/>
        <sz val="18"/>
        <color theme="1"/>
        <rFont val="Times New Roman"/>
        <family val="1"/>
        <charset val="204"/>
      </rPr>
      <t xml:space="preserve"> N</t>
    </r>
    <r>
      <rPr>
        <sz val="14"/>
        <color theme="1"/>
        <rFont val="Times New Roman"/>
        <family val="1"/>
        <charset val="204"/>
      </rPr>
      <t xml:space="preserve"> = </t>
    </r>
  </si>
  <si>
    <r>
      <t xml:space="preserve">число выбираемых номеров </t>
    </r>
    <r>
      <rPr>
        <b/>
        <sz val="18"/>
        <color theme="1"/>
        <rFont val="Times New Roman"/>
        <family val="1"/>
        <charset val="204"/>
      </rPr>
      <t>n</t>
    </r>
    <r>
      <rPr>
        <sz val="14"/>
        <color theme="1"/>
        <rFont val="Times New Roman"/>
        <family val="1"/>
        <charset val="204"/>
      </rPr>
      <t xml:space="preserve"> =</t>
    </r>
  </si>
  <si>
    <r>
      <t xml:space="preserve">число выигрышных номеров </t>
    </r>
    <r>
      <rPr>
        <sz val="20"/>
        <color theme="1"/>
        <rFont val="Times New Roman"/>
        <family val="1"/>
        <charset val="204"/>
      </rPr>
      <t>M</t>
    </r>
    <r>
      <rPr>
        <sz val="14"/>
        <color theme="1"/>
        <rFont val="Times New Roman"/>
        <family val="1"/>
        <charset val="204"/>
      </rPr>
      <t>=</t>
    </r>
  </si>
  <si>
    <r>
      <t xml:space="preserve">число угаданных номеров </t>
    </r>
    <r>
      <rPr>
        <sz val="20"/>
        <color theme="1"/>
        <rFont val="Times New Roman"/>
        <family val="1"/>
        <charset val="204"/>
      </rPr>
      <t>m</t>
    </r>
    <r>
      <rPr>
        <sz val="14"/>
        <color theme="1"/>
        <rFont val="Times New Roman"/>
        <family val="1"/>
        <charset val="204"/>
      </rPr>
      <t xml:space="preserve"> =</t>
    </r>
  </si>
  <si>
    <t>P(A) =</t>
  </si>
  <si>
    <t xml:space="preserve">𝛗(x) = </t>
  </si>
  <si>
    <t>Mx=</t>
  </si>
  <si>
    <t>Dx=</t>
  </si>
  <si>
    <r>
      <t>(Mx-x)</t>
    </r>
    <r>
      <rPr>
        <b/>
        <vertAlign val="superscript"/>
        <sz val="16"/>
        <color rgb="FF7030A0"/>
        <rFont val="Times New Roman"/>
        <family val="1"/>
        <charset val="204"/>
      </rPr>
      <t>2</t>
    </r>
  </si>
  <si>
    <t>ri</t>
  </si>
  <si>
    <t>xi</t>
  </si>
  <si>
    <r>
      <t>(Mx-xi)</t>
    </r>
    <r>
      <rPr>
        <b/>
        <vertAlign val="superscript"/>
        <sz val="16"/>
        <color theme="1"/>
        <rFont val="Times New Roman"/>
        <family val="1"/>
        <charset val="204"/>
      </rPr>
      <t>2</t>
    </r>
  </si>
  <si>
    <r>
      <t>М(Х)=1/</t>
    </r>
    <r>
      <rPr>
        <b/>
        <i/>
        <sz val="20"/>
        <color rgb="FF00B050"/>
        <rFont val="Times New Roman"/>
        <family val="1"/>
        <charset val="204"/>
      </rPr>
      <t xml:space="preserve"> λ</t>
    </r>
    <r>
      <rPr>
        <b/>
        <sz val="20"/>
        <color rgb="FF00B050"/>
        <rFont val="Times New Roman"/>
        <family val="1"/>
        <charset val="204"/>
      </rPr>
      <t xml:space="preserve"> =</t>
    </r>
  </si>
  <si>
    <t>Xi</t>
  </si>
  <si>
    <t>Вероятность успеха P=</t>
  </si>
  <si>
    <t>i</t>
  </si>
  <si>
    <t>Ri</t>
  </si>
  <si>
    <t>ΣXi=</t>
  </si>
  <si>
    <t>Число испытаний n =</t>
  </si>
  <si>
    <t xml:space="preserve">Реализации биноминально распределенной случ. величины:  </t>
  </si>
  <si>
    <r>
      <t>e</t>
    </r>
    <r>
      <rPr>
        <b/>
        <vertAlign val="superscript"/>
        <sz val="20"/>
        <color rgb="FF00B050"/>
        <rFont val="Times New Roman"/>
        <family val="1"/>
        <charset val="204"/>
      </rPr>
      <t>-λ</t>
    </r>
    <r>
      <rPr>
        <b/>
        <sz val="20"/>
        <color rgb="FF00B050"/>
        <rFont val="Times New Roman"/>
        <family val="1"/>
        <charset val="204"/>
      </rPr>
      <t xml:space="preserve">    =</t>
    </r>
  </si>
  <si>
    <r>
      <t xml:space="preserve">Среднее </t>
    </r>
    <r>
      <rPr>
        <b/>
        <i/>
        <sz val="18"/>
        <color rgb="FF00B050"/>
        <rFont val="Calibri"/>
        <family val="2"/>
        <charset val="204"/>
      </rPr>
      <t>λ</t>
    </r>
    <r>
      <rPr>
        <b/>
        <i/>
        <sz val="18"/>
        <color rgb="FF00B050"/>
        <rFont val="Times New Roman"/>
        <family val="1"/>
        <charset val="204"/>
      </rPr>
      <t>=</t>
    </r>
  </si>
  <si>
    <t>П Ri</t>
  </si>
  <si>
    <t>X=</t>
  </si>
  <si>
    <t>(Mx-Xi)^2</t>
  </si>
  <si>
    <t>D(X) = npq=</t>
  </si>
  <si>
    <t>M(X) = np =</t>
  </si>
  <si>
    <t xml:space="preserve">M(X) = </t>
  </si>
  <si>
    <t>D(X) =</t>
  </si>
  <si>
    <t>(Mx-Xi)^2=</t>
  </si>
  <si>
    <t>M(X) = D(X) = λ</t>
  </si>
  <si>
    <t>M(X) = D(X) = λ=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</si>
</sst>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1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6"/>
      <color theme="1"/>
      <name val="Cambria Math"/>
      <family val="1"/>
      <charset val="204"/>
    </font>
    <font>
      <b/>
      <sz val="14"/>
      <color rgb="FF000000"/>
      <name val="Times New Roman"/>
      <family val="1"/>
      <charset val="204"/>
    </font>
    <font>
      <b/>
      <i/>
      <sz val="14"/>
      <color rgb="FF000000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24"/>
      <color theme="1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i/>
      <sz val="26"/>
      <color rgb="FFFF0000"/>
      <name val="Times New Roman"/>
      <family val="1"/>
      <charset val="204"/>
    </font>
    <font>
      <b/>
      <i/>
      <vertAlign val="superscript"/>
      <sz val="26"/>
      <color rgb="FFFF0000"/>
      <name val="Times New Roman"/>
      <family val="1"/>
      <charset val="204"/>
    </font>
    <font>
      <vertAlign val="subscript"/>
      <sz val="14"/>
      <color indexed="8"/>
      <name val="Times New Roman"/>
      <family val="1"/>
      <charset val="204"/>
    </font>
    <font>
      <vertAlign val="superscript"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  <font>
      <b/>
      <i/>
      <vertAlign val="subscript"/>
      <sz val="18"/>
      <color indexed="8"/>
      <name val="Times New Roman"/>
      <family val="1"/>
      <charset val="204"/>
    </font>
    <font>
      <b/>
      <i/>
      <vertAlign val="superscript"/>
      <sz val="18"/>
      <color indexed="8"/>
      <name val="Times New Roman"/>
      <family val="1"/>
      <charset val="204"/>
    </font>
    <font>
      <b/>
      <i/>
      <sz val="18"/>
      <color indexed="8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14"/>
      <color indexed="8"/>
      <name val="Calibri"/>
      <family val="2"/>
      <charset val="204"/>
    </font>
    <font>
      <b/>
      <i/>
      <vertAlign val="subscript"/>
      <sz val="14"/>
      <color indexed="8"/>
      <name val="Calibri"/>
      <family val="2"/>
      <charset val="204"/>
    </font>
    <font>
      <b/>
      <sz val="18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b/>
      <vertAlign val="superscript"/>
      <sz val="16"/>
      <color theme="1"/>
      <name val="Times New Roman"/>
      <family val="1"/>
      <charset val="204"/>
    </font>
    <font>
      <b/>
      <i/>
      <sz val="20"/>
      <color rgb="FFFF0000"/>
      <name val="Times New Roman"/>
      <family val="1"/>
      <charset val="204"/>
    </font>
    <font>
      <b/>
      <i/>
      <sz val="20"/>
      <color rgb="FF7030A0"/>
      <name val="Times New Roman"/>
      <family val="1"/>
      <charset val="204"/>
    </font>
    <font>
      <b/>
      <sz val="16"/>
      <color rgb="FF7030A0"/>
      <name val="Times New Roman"/>
      <family val="1"/>
      <charset val="204"/>
    </font>
    <font>
      <b/>
      <vertAlign val="superscript"/>
      <sz val="16"/>
      <color rgb="FF7030A0"/>
      <name val="Times New Roman"/>
      <family val="1"/>
      <charset val="204"/>
    </font>
    <font>
      <b/>
      <sz val="16"/>
      <color rgb="FFC00000"/>
      <name val="Times New Roman"/>
      <family val="1"/>
      <charset val="204"/>
    </font>
    <font>
      <b/>
      <i/>
      <sz val="22"/>
      <color rgb="FF00B050"/>
      <name val="Times New Roman"/>
      <family val="1"/>
      <charset val="204"/>
    </font>
    <font>
      <b/>
      <i/>
      <sz val="18"/>
      <color rgb="FF7030A0"/>
      <name val="Times New Roman"/>
      <family val="1"/>
      <charset val="204"/>
    </font>
    <font>
      <b/>
      <i/>
      <sz val="16"/>
      <color rgb="FF7030A0"/>
      <name val="Times New Roman"/>
      <family val="1"/>
      <charset val="204"/>
    </font>
    <font>
      <b/>
      <sz val="20"/>
      <color rgb="FF00B050"/>
      <name val="Times New Roman"/>
      <family val="1"/>
      <charset val="204"/>
    </font>
    <font>
      <b/>
      <i/>
      <sz val="20"/>
      <color rgb="FF00B05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6"/>
      <color rgb="FF00B050"/>
      <name val="Times New Roman"/>
      <family val="1"/>
      <charset val="204"/>
    </font>
    <font>
      <b/>
      <sz val="20"/>
      <color rgb="FFC00000"/>
      <name val="Times New Roman"/>
      <family val="1"/>
      <charset val="204"/>
    </font>
    <font>
      <b/>
      <sz val="20"/>
      <color rgb="FFC00000"/>
      <name val="Calibri"/>
      <family val="2"/>
      <scheme val="minor"/>
    </font>
    <font>
      <sz val="18"/>
      <color rgb="FFC00000"/>
      <name val="Times New Roman"/>
      <family val="1"/>
      <charset val="204"/>
    </font>
    <font>
      <b/>
      <sz val="16"/>
      <color rgb="FF00B050"/>
      <name val="Cambria Math"/>
      <family val="1"/>
      <charset val="204"/>
    </font>
    <font>
      <b/>
      <vertAlign val="superscript"/>
      <sz val="20"/>
      <color rgb="FF00B050"/>
      <name val="Times New Roman"/>
      <family val="1"/>
      <charset val="204"/>
    </font>
    <font>
      <b/>
      <i/>
      <sz val="18"/>
      <color rgb="FF00B050"/>
      <name val="Times New Roman"/>
      <family val="1"/>
      <charset val="204"/>
    </font>
    <font>
      <b/>
      <i/>
      <sz val="18"/>
      <color rgb="FF00B050"/>
      <name val="Calibri"/>
      <family val="2"/>
      <charset val="204"/>
    </font>
    <font>
      <b/>
      <i/>
      <sz val="20"/>
      <color rgb="FFC00000"/>
      <name val="Times New Roman"/>
      <family val="1"/>
      <charset val="204"/>
    </font>
    <font>
      <b/>
      <i/>
      <sz val="18"/>
      <color rgb="FFFF0000"/>
      <name val="Times New Roman"/>
      <family val="1"/>
      <charset val="204"/>
    </font>
    <font>
      <b/>
      <i/>
      <sz val="20"/>
      <color theme="1"/>
      <name val="Calibri"/>
      <family val="2"/>
      <scheme val="minor"/>
    </font>
    <font>
      <b/>
      <i/>
      <sz val="18"/>
      <color rgb="FFC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8" fillId="0" borderId="1" xfId="0" applyFont="1" applyBorder="1"/>
    <xf numFmtId="0" fontId="2" fillId="0" borderId="1" xfId="0" applyFont="1" applyBorder="1" applyAlignment="1">
      <alignment horizontal="right" vertical="top"/>
    </xf>
    <xf numFmtId="0" fontId="10" fillId="0" borderId="1" xfId="0" applyFont="1" applyBorder="1"/>
    <xf numFmtId="0" fontId="7" fillId="0" borderId="1" xfId="0" applyFont="1" applyBorder="1" applyAlignment="1">
      <alignment horizontal="right" vertical="top"/>
    </xf>
    <xf numFmtId="0" fontId="12" fillId="0" borderId="0" xfId="0" applyFont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/>
    <xf numFmtId="0" fontId="11" fillId="2" borderId="2" xfId="0" applyFont="1" applyFill="1" applyBorder="1" applyAlignment="1">
      <alignment wrapText="1"/>
    </xf>
    <xf numFmtId="0" fontId="11" fillId="2" borderId="3" xfId="0" applyFont="1" applyFill="1" applyBorder="1"/>
    <xf numFmtId="0" fontId="11" fillId="0" borderId="0" xfId="0" applyFont="1"/>
    <xf numFmtId="0" fontId="11" fillId="3" borderId="4" xfId="0" applyFont="1" applyFill="1" applyBorder="1" applyAlignment="1">
      <alignment wrapText="1"/>
    </xf>
    <xf numFmtId="0" fontId="11" fillId="3" borderId="5" xfId="0" applyFont="1" applyFill="1" applyBorder="1"/>
    <xf numFmtId="0" fontId="11" fillId="3" borderId="6" xfId="0" applyFont="1" applyFill="1" applyBorder="1"/>
    <xf numFmtId="0" fontId="11" fillId="4" borderId="4" xfId="0" applyFont="1" applyFill="1" applyBorder="1" applyAlignment="1">
      <alignment wrapText="1"/>
    </xf>
    <xf numFmtId="0" fontId="11" fillId="5" borderId="1" xfId="0" applyFont="1" applyFill="1" applyBorder="1"/>
    <xf numFmtId="0" fontId="11" fillId="6" borderId="4" xfId="0" applyFont="1" applyFill="1" applyBorder="1" applyAlignment="1">
      <alignment wrapText="1"/>
    </xf>
    <xf numFmtId="0" fontId="11" fillId="6" borderId="5" xfId="0" applyFont="1" applyFill="1" applyBorder="1"/>
    <xf numFmtId="0" fontId="11" fillId="7" borderId="4" xfId="0" applyFont="1" applyFill="1" applyBorder="1" applyAlignment="1">
      <alignment wrapText="1"/>
    </xf>
    <xf numFmtId="0" fontId="11" fillId="8" borderId="4" xfId="0" applyFont="1" applyFill="1" applyBorder="1" applyAlignment="1">
      <alignment wrapText="1"/>
    </xf>
    <xf numFmtId="0" fontId="17" fillId="9" borderId="7" xfId="0" applyFont="1" applyFill="1" applyBorder="1" applyAlignment="1">
      <alignment wrapText="1"/>
    </xf>
    <xf numFmtId="0" fontId="21" fillId="5" borderId="1" xfId="0" applyFont="1" applyFill="1" applyBorder="1"/>
    <xf numFmtId="0" fontId="11" fillId="7" borderId="1" xfId="0" applyFont="1" applyFill="1" applyBorder="1"/>
    <xf numFmtId="0" fontId="11" fillId="9" borderId="1" xfId="0" applyFont="1" applyFill="1" applyBorder="1"/>
    <xf numFmtId="0" fontId="11" fillId="6" borderId="8" xfId="0" applyFont="1" applyFill="1" applyBorder="1"/>
    <xf numFmtId="0" fontId="0" fillId="0" borderId="0" xfId="0" applyBorder="1"/>
    <xf numFmtId="0" fontId="11" fillId="6" borderId="1" xfId="0" applyFont="1" applyFill="1" applyBorder="1"/>
    <xf numFmtId="0" fontId="11" fillId="0" borderId="0" xfId="0" applyFont="1" applyFill="1" applyBorder="1"/>
    <xf numFmtId="0" fontId="0" fillId="0" borderId="0" xfId="0" applyFill="1" applyBorder="1"/>
    <xf numFmtId="0" fontId="17" fillId="0" borderId="0" xfId="0" applyFont="1" applyFill="1" applyBorder="1"/>
    <xf numFmtId="0" fontId="17" fillId="9" borderId="6" xfId="0" applyFont="1" applyFill="1" applyBorder="1"/>
    <xf numFmtId="0" fontId="17" fillId="9" borderId="9" xfId="0" applyFont="1" applyFill="1" applyBorder="1"/>
    <xf numFmtId="0" fontId="17" fillId="9" borderId="10" xfId="0" applyFont="1" applyFill="1" applyBorder="1"/>
    <xf numFmtId="0" fontId="17" fillId="10" borderId="1" xfId="0" applyFont="1" applyFill="1" applyBorder="1"/>
    <xf numFmtId="0" fontId="26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26" fillId="0" borderId="0" xfId="0" applyFont="1"/>
    <xf numFmtId="0" fontId="28" fillId="0" borderId="1" xfId="0" applyFont="1" applyBorder="1"/>
    <xf numFmtId="0" fontId="28" fillId="0" borderId="10" xfId="0" applyFont="1" applyBorder="1"/>
    <xf numFmtId="0" fontId="29" fillId="0" borderId="1" xfId="0" applyFont="1" applyBorder="1"/>
    <xf numFmtId="0" fontId="30" fillId="0" borderId="1" xfId="0" applyFont="1" applyBorder="1"/>
    <xf numFmtId="0" fontId="32" fillId="0" borderId="1" xfId="0" applyFont="1" applyBorder="1"/>
    <xf numFmtId="0" fontId="32" fillId="0" borderId="10" xfId="0" applyFont="1" applyBorder="1"/>
    <xf numFmtId="0" fontId="33" fillId="0" borderId="0" xfId="0" applyFont="1" applyAlignment="1">
      <alignment horizontal="right"/>
    </xf>
    <xf numFmtId="0" fontId="33" fillId="0" borderId="0" xfId="0" applyFont="1"/>
    <xf numFmtId="0" fontId="34" fillId="0" borderId="1" xfId="0" applyFont="1" applyBorder="1" applyAlignment="1">
      <alignment vertical="top"/>
    </xf>
    <xf numFmtId="0" fontId="34" fillId="0" borderId="0" xfId="0" applyFont="1" applyBorder="1" applyAlignment="1">
      <alignment vertical="top"/>
    </xf>
    <xf numFmtId="0" fontId="35" fillId="0" borderId="0" xfId="0" applyFont="1" applyAlignment="1">
      <alignment vertical="top"/>
    </xf>
    <xf numFmtId="0" fontId="36" fillId="0" borderId="0" xfId="0" applyFont="1" applyAlignment="1">
      <alignment vertical="top"/>
    </xf>
    <xf numFmtId="164" fontId="36" fillId="0" borderId="0" xfId="0" applyNumberFormat="1" applyFont="1" applyAlignment="1">
      <alignment vertical="top"/>
    </xf>
    <xf numFmtId="0" fontId="33" fillId="0" borderId="1" xfId="0" applyFont="1" applyFill="1" applyBorder="1" applyAlignment="1">
      <alignment horizontal="right"/>
    </xf>
    <xf numFmtId="0" fontId="33" fillId="0" borderId="1" xfId="0" applyFont="1" applyBorder="1" applyAlignment="1">
      <alignment horizontal="right"/>
    </xf>
    <xf numFmtId="0" fontId="38" fillId="0" borderId="0" xfId="0" applyFont="1"/>
    <xf numFmtId="0" fontId="36" fillId="0" borderId="1" xfId="0" applyFont="1" applyBorder="1"/>
    <xf numFmtId="0" fontId="39" fillId="0" borderId="1" xfId="0" applyFont="1" applyBorder="1" applyAlignment="1">
      <alignment vertical="top"/>
    </xf>
    <xf numFmtId="0" fontId="39" fillId="0" borderId="1" xfId="0" applyFont="1" applyBorder="1" applyAlignment="1">
      <alignment vertical="top" wrapText="1"/>
    </xf>
    <xf numFmtId="0" fontId="34" fillId="0" borderId="1" xfId="0" applyFont="1" applyBorder="1"/>
    <xf numFmtId="0" fontId="30" fillId="0" borderId="1" xfId="0" applyFont="1" applyFill="1" applyBorder="1" applyAlignment="1">
      <alignment vertical="top"/>
    </xf>
    <xf numFmtId="0" fontId="40" fillId="0" borderId="0" xfId="0" applyFont="1" applyFill="1" applyBorder="1" applyAlignment="1">
      <alignment vertical="top"/>
    </xf>
    <xf numFmtId="0" fontId="41" fillId="0" borderId="0" xfId="0" applyFont="1"/>
    <xf numFmtId="0" fontId="40" fillId="0" borderId="0" xfId="0" applyFont="1"/>
    <xf numFmtId="0" fontId="42" fillId="0" borderId="0" xfId="0" applyFont="1"/>
    <xf numFmtId="0" fontId="2" fillId="0" borderId="0" xfId="0" applyFont="1" applyBorder="1" applyAlignment="1">
      <alignment vertical="top"/>
    </xf>
    <xf numFmtId="0" fontId="8" fillId="0" borderId="0" xfId="0" applyFont="1" applyBorder="1"/>
    <xf numFmtId="0" fontId="0" fillId="0" borderId="0" xfId="0" applyAlignment="1">
      <alignment vertical="top"/>
    </xf>
    <xf numFmtId="0" fontId="43" fillId="0" borderId="0" xfId="0" applyFont="1" applyBorder="1" applyAlignment="1">
      <alignment vertical="top"/>
    </xf>
    <xf numFmtId="0" fontId="45" fillId="0" borderId="11" xfId="0" applyFont="1" applyBorder="1" applyAlignment="1">
      <alignment horizontal="right" vertical="top"/>
    </xf>
    <xf numFmtId="0" fontId="33" fillId="0" borderId="12" xfId="0" applyFont="1" applyBorder="1" applyAlignment="1">
      <alignment vertical="top"/>
    </xf>
    <xf numFmtId="0" fontId="36" fillId="0" borderId="11" xfId="0" applyFont="1" applyBorder="1" applyAlignment="1">
      <alignment vertical="top"/>
    </xf>
    <xf numFmtId="0" fontId="45" fillId="0" borderId="12" xfId="0" applyFont="1" applyBorder="1" applyAlignment="1">
      <alignment vertical="top"/>
    </xf>
    <xf numFmtId="0" fontId="47" fillId="0" borderId="0" xfId="0" applyFont="1" applyAlignment="1">
      <alignment horizontal="right"/>
    </xf>
    <xf numFmtId="0" fontId="47" fillId="0" borderId="11" xfId="0" applyFont="1" applyBorder="1" applyAlignment="1">
      <alignment horizontal="right"/>
    </xf>
    <xf numFmtId="0" fontId="47" fillId="0" borderId="0" xfId="0" applyFont="1" applyBorder="1" applyAlignment="1">
      <alignment horizontal="left"/>
    </xf>
    <xf numFmtId="0" fontId="25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vertical="top"/>
    </xf>
    <xf numFmtId="0" fontId="1" fillId="0" borderId="7" xfId="0" applyFont="1" applyBorder="1" applyAlignment="1">
      <alignment horizontal="center"/>
    </xf>
    <xf numFmtId="0" fontId="1" fillId="0" borderId="14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47" fillId="0" borderId="0" xfId="0" applyFont="1" applyBorder="1" applyAlignment="1">
      <alignment horizontal="right"/>
    </xf>
    <xf numFmtId="0" fontId="47" fillId="0" borderId="12" xfId="0" applyFont="1" applyFill="1" applyBorder="1" applyAlignment="1">
      <alignment horizontal="left"/>
    </xf>
    <xf numFmtId="0" fontId="28" fillId="0" borderId="0" xfId="0" applyFont="1"/>
    <xf numFmtId="0" fontId="48" fillId="0" borderId="0" xfId="0" applyFont="1"/>
    <xf numFmtId="0" fontId="34" fillId="0" borderId="0" xfId="0" applyFont="1"/>
    <xf numFmtId="0" fontId="34" fillId="0" borderId="0" xfId="0" applyFont="1" applyAlignment="1">
      <alignment horizontal="right"/>
    </xf>
    <xf numFmtId="0" fontId="49" fillId="0" borderId="0" xfId="0" applyFont="1" applyAlignment="1">
      <alignment horizontal="left"/>
    </xf>
    <xf numFmtId="0" fontId="50" fillId="0" borderId="11" xfId="0" applyFont="1" applyBorder="1"/>
    <xf numFmtId="0" fontId="0" fillId="0" borderId="16" xfId="0" applyBorder="1"/>
    <xf numFmtId="0" fontId="50" fillId="0" borderId="12" xfId="0" applyFont="1" applyBorder="1"/>
    <xf numFmtId="0" fontId="34" fillId="0" borderId="11" xfId="0" applyFont="1" applyBorder="1"/>
    <xf numFmtId="0" fontId="34" fillId="0" borderId="16" xfId="0" applyFont="1" applyBorder="1"/>
    <xf numFmtId="0" fontId="34" fillId="0" borderId="12" xfId="0" applyFont="1" applyBorder="1"/>
    <xf numFmtId="0" fontId="50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нормальный!$B$1</c:f>
              <c:strCache>
                <c:ptCount val="1"/>
                <c:pt idx="0">
                  <c:v>f(x)</c:v>
                </c:pt>
              </c:strCache>
            </c:strRef>
          </c:tx>
          <c:cat>
            <c:numRef>
              <c:f>нормальный!$A$2:$A$23</c:f>
              <c:numCache>
                <c:formatCode>General</c:formatCode>
                <c:ptCount val="22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</c:numCache>
            </c:numRef>
          </c:cat>
          <c:val>
            <c:numRef>
              <c:f>нормальный!$B$2:$B$23</c:f>
              <c:numCache>
                <c:formatCode>General</c:formatCode>
                <c:ptCount val="22"/>
                <c:pt idx="0">
                  <c:v>3.2276123811628609E-20</c:v>
                </c:pt>
                <c:pt idx="1">
                  <c:v>1.3021117687947652E-17</c:v>
                </c:pt>
                <c:pt idx="2">
                  <c:v>3.3681807223579286E-15</c:v>
                </c:pt>
                <c:pt idx="3">
                  <c:v>5.5862804867931224E-13</c:v>
                </c:pt>
                <c:pt idx="4">
                  <c:v>5.9406001249014352E-11</c:v>
                </c:pt>
                <c:pt idx="5">
                  <c:v>4.0505885665488571E-9</c:v>
                </c:pt>
                <c:pt idx="6">
                  <c:v>1.7708679390146084E-7</c:v>
                </c:pt>
                <c:pt idx="7">
                  <c:v>4.9640305804199935E-6</c:v>
                </c:pt>
                <c:pt idx="8">
                  <c:v>8.9220150509923578E-5</c:v>
                </c:pt>
                <c:pt idx="9">
                  <c:v>1.0281859975274036E-3</c:v>
                </c:pt>
                <c:pt idx="10">
                  <c:v>7.597324015864962E-3</c:v>
                </c:pt>
                <c:pt idx="11">
                  <c:v>3.5993977675458706E-2</c:v>
                </c:pt>
                <c:pt idx="12">
                  <c:v>0.10934004978399575</c:v>
                </c:pt>
                <c:pt idx="13">
                  <c:v>0.21296533701490147</c:v>
                </c:pt>
                <c:pt idx="14">
                  <c:v>0.26596152026762176</c:v>
                </c:pt>
                <c:pt idx="15">
                  <c:v>0.21296533701490147</c:v>
                </c:pt>
                <c:pt idx="16">
                  <c:v>0.10934004978399575</c:v>
                </c:pt>
                <c:pt idx="17">
                  <c:v>3.5993977675458706E-2</c:v>
                </c:pt>
                <c:pt idx="18">
                  <c:v>7.597324015864962E-3</c:v>
                </c:pt>
                <c:pt idx="19">
                  <c:v>1.0281859975274036E-3</c:v>
                </c:pt>
                <c:pt idx="20">
                  <c:v>8.9220150509923578E-5</c:v>
                </c:pt>
                <c:pt idx="21">
                  <c:v>4.9640305804199935E-6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нормальный!$C$1</c:f>
              <c:strCache>
                <c:ptCount val="1"/>
                <c:pt idx="0">
                  <c:v>F(x)</c:v>
                </c:pt>
              </c:strCache>
            </c:strRef>
          </c:tx>
          <c:cat>
            <c:numRef>
              <c:f>нормальный!$A$2:$A$23</c:f>
              <c:numCache>
                <c:formatCode>General</c:formatCode>
                <c:ptCount val="22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</c:numCache>
            </c:numRef>
          </c:cat>
          <c:val>
            <c:numRef>
              <c:f>нормальный!$C$2:$C$23</c:f>
              <c:numCache>
                <c:formatCode>General</c:formatCode>
                <c:ptCount val="22"/>
                <c:pt idx="0">
                  <c:v>5.1296284709591474E-21</c:v>
                </c:pt>
                <c:pt idx="1">
                  <c:v>2.2247759785104368E-18</c:v>
                </c:pt>
                <c:pt idx="2">
                  <c:v>6.2209605742717375E-16</c:v>
                </c:pt>
                <c:pt idx="3">
                  <c:v>1.1224881271355515E-13</c:v>
                </c:pt>
                <c:pt idx="4">
                  <c:v>1.3083924686052984E-11</c:v>
                </c:pt>
                <c:pt idx="5">
                  <c:v>9.8658764503769437E-10</c:v>
                </c:pt>
                <c:pt idx="6">
                  <c:v>4.8213033651141262E-8</c:v>
                </c:pt>
                <c:pt idx="7">
                  <c:v>1.530626736531063E-6</c:v>
                </c:pt>
                <c:pt idx="8">
                  <c:v>3.1671241833119857E-5</c:v>
                </c:pt>
                <c:pt idx="9">
                  <c:v>4.2906033319683703E-4</c:v>
                </c:pt>
                <c:pt idx="10">
                  <c:v>3.8303805675897356E-3</c:v>
                </c:pt>
                <c:pt idx="11">
                  <c:v>2.2750131948179191E-2</c:v>
                </c:pt>
                <c:pt idx="12">
                  <c:v>9.1211219725867876E-2</c:v>
                </c:pt>
                <c:pt idx="13">
                  <c:v>0.25249253754692291</c:v>
                </c:pt>
                <c:pt idx="14">
                  <c:v>0.5</c:v>
                </c:pt>
                <c:pt idx="15">
                  <c:v>0.74750746245307709</c:v>
                </c:pt>
                <c:pt idx="16">
                  <c:v>0.90878878027413212</c:v>
                </c:pt>
                <c:pt idx="17">
                  <c:v>0.97724986805182079</c:v>
                </c:pt>
                <c:pt idx="18">
                  <c:v>0.99616961943241022</c:v>
                </c:pt>
                <c:pt idx="19">
                  <c:v>0.99957093966680322</c:v>
                </c:pt>
                <c:pt idx="20">
                  <c:v>0.99996832875816688</c:v>
                </c:pt>
                <c:pt idx="21">
                  <c:v>0.99999846937326342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784704"/>
        <c:axId val="323786240"/>
      </c:lineChart>
      <c:catAx>
        <c:axId val="323784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3786240"/>
        <c:crosses val="autoZero"/>
        <c:auto val="1"/>
        <c:lblAlgn val="ctr"/>
        <c:lblOffset val="100"/>
        <c:noMultiLvlLbl val="0"/>
      </c:catAx>
      <c:valAx>
        <c:axId val="323786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3784704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3200"/>
            </a:pPr>
            <a:endParaRPr lang="ru-RU"/>
          </a:p>
        </c:txPr>
      </c:legendEntry>
      <c:legendEntry>
        <c:idx val="1"/>
        <c:txPr>
          <a:bodyPr/>
          <a:lstStyle/>
          <a:p>
            <a:pPr>
              <a:defRPr sz="3600"/>
            </a:pPr>
            <a:endParaRPr lang="ru-RU"/>
          </a:p>
        </c:txPr>
      </c:legendEntry>
      <c:layout>
        <c:manualLayout>
          <c:xMode val="edge"/>
          <c:yMode val="edge"/>
          <c:x val="0.64448600174978121"/>
          <c:y val="0.32483455961447444"/>
          <c:w val="0.33884733158355207"/>
          <c:h val="0.4450485492592114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равномерный!$B$2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cat>
            <c:numRef>
              <c:f>равномерный!$A$3:$A$18</c:f>
              <c:numCache>
                <c:formatCode>General</c:formatCode>
                <c:ptCount val="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</c:numCache>
            </c:numRef>
          </c:cat>
          <c:val>
            <c:numRef>
              <c:f>равномерный!$B$3:$B$18</c:f>
              <c:numCache>
                <c:formatCode>0.0000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равномерный!$C$2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cat>
            <c:numRef>
              <c:f>равномерный!$A$3:$A$18</c:f>
              <c:numCache>
                <c:formatCode>General</c:formatCode>
                <c:ptCount val="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</c:numCache>
            </c:numRef>
          </c:cat>
          <c:val>
            <c:numRef>
              <c:f>равномерный!$C$3:$C$18</c:f>
              <c:numCache>
                <c:formatCode>0.0000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4899968"/>
        <c:axId val="324901504"/>
      </c:lineChart>
      <c:catAx>
        <c:axId val="32489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4901504"/>
        <c:crosses val="autoZero"/>
        <c:auto val="1"/>
        <c:lblAlgn val="ctr"/>
        <c:lblOffset val="100"/>
        <c:noMultiLvlLbl val="0"/>
      </c:catAx>
      <c:valAx>
        <c:axId val="324901504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3248999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99960600951371"/>
          <c:y val="4.0887904087365964E-2"/>
          <c:w val="0.72491282960490866"/>
          <c:h val="0.75776098339466358"/>
        </c:manualLayout>
      </c:layout>
      <c:lineChart>
        <c:grouping val="standard"/>
        <c:varyColors val="0"/>
        <c:ser>
          <c:idx val="0"/>
          <c:order val="0"/>
          <c:tx>
            <c:strRef>
              <c:f>экспоненциальный!$B$1</c:f>
              <c:strCache>
                <c:ptCount val="1"/>
                <c:pt idx="0">
                  <c:v>𝛗(x)</c:v>
                </c:pt>
              </c:strCache>
            </c:strRef>
          </c:tx>
          <c:val>
            <c:numRef>
              <c:f>экспоненциальный!$B$2:$B$20</c:f>
              <c:numCache>
                <c:formatCode>General</c:formatCode>
                <c:ptCount val="19"/>
                <c:pt idx="0">
                  <c:v>0.5</c:v>
                </c:pt>
                <c:pt idx="1">
                  <c:v>0.30326532985631671</c:v>
                </c:pt>
                <c:pt idx="2">
                  <c:v>0.18393972058572117</c:v>
                </c:pt>
                <c:pt idx="3">
                  <c:v>0.11156508007421491</c:v>
                </c:pt>
                <c:pt idx="4">
                  <c:v>6.7667641618306351E-2</c:v>
                </c:pt>
                <c:pt idx="5">
                  <c:v>4.10424993119494E-2</c:v>
                </c:pt>
                <c:pt idx="6">
                  <c:v>2.4893534183931972E-2</c:v>
                </c:pt>
                <c:pt idx="7">
                  <c:v>1.509869171115925E-2</c:v>
                </c:pt>
                <c:pt idx="8">
                  <c:v>9.1578194443670893E-3</c:v>
                </c:pt>
                <c:pt idx="9">
                  <c:v>5.554498269121153E-3</c:v>
                </c:pt>
                <c:pt idx="10">
                  <c:v>3.3689734995427335E-3</c:v>
                </c:pt>
                <c:pt idx="11">
                  <c:v>2.0433857192320333E-3</c:v>
                </c:pt>
                <c:pt idx="12">
                  <c:v>1.2393760883331792E-3</c:v>
                </c:pt>
                <c:pt idx="13">
                  <c:v>7.5171959648878618E-4</c:v>
                </c:pt>
                <c:pt idx="14">
                  <c:v>4.5594098277725812E-4</c:v>
                </c:pt>
                <c:pt idx="15">
                  <c:v>2.7654218507391681E-4</c:v>
                </c:pt>
                <c:pt idx="16">
                  <c:v>1.6773131395125593E-4</c:v>
                </c:pt>
                <c:pt idx="17">
                  <c:v>1.0173418450532208E-4</c:v>
                </c:pt>
                <c:pt idx="18">
                  <c:v>6.1704902043339781E-5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экспоненциальный!$C$1</c:f>
              <c:strCache>
                <c:ptCount val="1"/>
                <c:pt idx="0">
                  <c:v>F(x)</c:v>
                </c:pt>
              </c:strCache>
            </c:strRef>
          </c:tx>
          <c:val>
            <c:numRef>
              <c:f>экспоненциальный!$C$2:$C$20</c:f>
              <c:numCache>
                <c:formatCode>General</c:formatCode>
                <c:ptCount val="19"/>
                <c:pt idx="0">
                  <c:v>0</c:v>
                </c:pt>
                <c:pt idx="1">
                  <c:v>0.39346934028736658</c:v>
                </c:pt>
                <c:pt idx="2">
                  <c:v>0.63212055882855767</c:v>
                </c:pt>
                <c:pt idx="3">
                  <c:v>0.77686983985157021</c:v>
                </c:pt>
                <c:pt idx="4">
                  <c:v>0.8646647167633873</c:v>
                </c:pt>
                <c:pt idx="5">
                  <c:v>0.91791500137610116</c:v>
                </c:pt>
                <c:pt idx="6">
                  <c:v>0.95021293163213605</c:v>
                </c:pt>
                <c:pt idx="7">
                  <c:v>0.96980261657768152</c:v>
                </c:pt>
                <c:pt idx="8">
                  <c:v>0.98168436111126578</c:v>
                </c:pt>
                <c:pt idx="9">
                  <c:v>0.98889100346175773</c:v>
                </c:pt>
                <c:pt idx="10">
                  <c:v>0.99326205300091452</c:v>
                </c:pt>
                <c:pt idx="11">
                  <c:v>0.99591322856153597</c:v>
                </c:pt>
                <c:pt idx="12">
                  <c:v>0.99752124782333362</c:v>
                </c:pt>
                <c:pt idx="13">
                  <c:v>0.99849656080702243</c:v>
                </c:pt>
                <c:pt idx="14">
                  <c:v>0.99908811803444553</c:v>
                </c:pt>
                <c:pt idx="15">
                  <c:v>0.99944691562985222</c:v>
                </c:pt>
                <c:pt idx="16">
                  <c:v>0.99966453737209748</c:v>
                </c:pt>
                <c:pt idx="17">
                  <c:v>0.99979653163098936</c:v>
                </c:pt>
                <c:pt idx="18">
                  <c:v>0.99987659019591335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257856"/>
        <c:axId val="323259392"/>
      </c:lineChart>
      <c:catAx>
        <c:axId val="323257856"/>
        <c:scaling>
          <c:orientation val="minMax"/>
        </c:scaling>
        <c:delete val="0"/>
        <c:axPos val="b"/>
        <c:majorTickMark val="out"/>
        <c:minorTickMark val="none"/>
        <c:tickLblPos val="nextTo"/>
        <c:crossAx val="323259392"/>
        <c:crosses val="autoZero"/>
        <c:auto val="1"/>
        <c:lblAlgn val="ctr"/>
        <c:lblOffset val="100"/>
        <c:noMultiLvlLbl val="0"/>
      </c:catAx>
      <c:valAx>
        <c:axId val="32325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3257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экспоненциальный!$J$1</c:f>
              <c:strCache>
                <c:ptCount val="1"/>
                <c:pt idx="0">
                  <c:v>𝛗(x)</c:v>
                </c:pt>
              </c:strCache>
            </c:strRef>
          </c:tx>
          <c:val>
            <c:numRef>
              <c:f>экспоненциальный!$J$2:$J$20</c:f>
              <c:numCache>
                <c:formatCode>General</c:formatCode>
                <c:ptCount val="19"/>
                <c:pt idx="0">
                  <c:v>0</c:v>
                </c:pt>
                <c:pt idx="1">
                  <c:v>0.30326532985631671</c:v>
                </c:pt>
                <c:pt idx="2">
                  <c:v>0.18393972058572117</c:v>
                </c:pt>
                <c:pt idx="3">
                  <c:v>0.11156508007421491</c:v>
                </c:pt>
                <c:pt idx="4">
                  <c:v>6.7667641618306351E-2</c:v>
                </c:pt>
                <c:pt idx="5">
                  <c:v>4.10424993119494E-2</c:v>
                </c:pt>
                <c:pt idx="6">
                  <c:v>2.4893534183931972E-2</c:v>
                </c:pt>
                <c:pt idx="7">
                  <c:v>1.509869171115925E-2</c:v>
                </c:pt>
                <c:pt idx="8">
                  <c:v>9.1578194443670893E-3</c:v>
                </c:pt>
                <c:pt idx="9">
                  <c:v>5.554498269121153E-3</c:v>
                </c:pt>
                <c:pt idx="10">
                  <c:v>3.3689734995427335E-3</c:v>
                </c:pt>
                <c:pt idx="11">
                  <c:v>2.0433857192320333E-3</c:v>
                </c:pt>
                <c:pt idx="12">
                  <c:v>1.2393760883331792E-3</c:v>
                </c:pt>
                <c:pt idx="13">
                  <c:v>7.5171959648878618E-4</c:v>
                </c:pt>
                <c:pt idx="14">
                  <c:v>4.5594098277725812E-4</c:v>
                </c:pt>
                <c:pt idx="15">
                  <c:v>2.7654218507391681E-4</c:v>
                </c:pt>
                <c:pt idx="16">
                  <c:v>1.6773131395125593E-4</c:v>
                </c:pt>
                <c:pt idx="17">
                  <c:v>1.0173418450532208E-4</c:v>
                </c:pt>
                <c:pt idx="18">
                  <c:v>6.1704902043339781E-5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экспоненциальный!$K$1</c:f>
              <c:strCache>
                <c:ptCount val="1"/>
                <c:pt idx="0">
                  <c:v>F(x)</c:v>
                </c:pt>
              </c:strCache>
            </c:strRef>
          </c:tx>
          <c:val>
            <c:numRef>
              <c:f>экспоненциальный!$K$2:$K$20</c:f>
              <c:numCache>
                <c:formatCode>General</c:formatCode>
                <c:ptCount val="19"/>
                <c:pt idx="0">
                  <c:v>0</c:v>
                </c:pt>
                <c:pt idx="1">
                  <c:v>0.39346934028736658</c:v>
                </c:pt>
                <c:pt idx="2">
                  <c:v>0.63212055882855767</c:v>
                </c:pt>
                <c:pt idx="3">
                  <c:v>0.77686983985157021</c:v>
                </c:pt>
                <c:pt idx="4">
                  <c:v>0.8646647167633873</c:v>
                </c:pt>
                <c:pt idx="5">
                  <c:v>0.91791500137610116</c:v>
                </c:pt>
                <c:pt idx="6">
                  <c:v>0.95021293163213605</c:v>
                </c:pt>
                <c:pt idx="7">
                  <c:v>0.96980261657768152</c:v>
                </c:pt>
                <c:pt idx="8">
                  <c:v>0.98168436111126578</c:v>
                </c:pt>
                <c:pt idx="9">
                  <c:v>0.98889100346175773</c:v>
                </c:pt>
                <c:pt idx="10">
                  <c:v>0.99326205300091452</c:v>
                </c:pt>
                <c:pt idx="11">
                  <c:v>0.99591322856153597</c:v>
                </c:pt>
                <c:pt idx="12">
                  <c:v>0.99752124782333362</c:v>
                </c:pt>
                <c:pt idx="13">
                  <c:v>0.99849656080702243</c:v>
                </c:pt>
                <c:pt idx="14">
                  <c:v>0.99908811803444553</c:v>
                </c:pt>
                <c:pt idx="15">
                  <c:v>0.99944691562985222</c:v>
                </c:pt>
                <c:pt idx="16">
                  <c:v>0.99966453737209748</c:v>
                </c:pt>
                <c:pt idx="17">
                  <c:v>0.99979653163098936</c:v>
                </c:pt>
                <c:pt idx="18">
                  <c:v>0.99987659019591335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3644416"/>
        <c:axId val="323658496"/>
      </c:lineChart>
      <c:catAx>
        <c:axId val="323644416"/>
        <c:scaling>
          <c:orientation val="minMax"/>
        </c:scaling>
        <c:delete val="0"/>
        <c:axPos val="b"/>
        <c:majorTickMark val="out"/>
        <c:minorTickMark val="none"/>
        <c:tickLblPos val="nextTo"/>
        <c:crossAx val="323658496"/>
        <c:crosses val="autoZero"/>
        <c:auto val="1"/>
        <c:lblAlgn val="ctr"/>
        <c:lblOffset val="100"/>
        <c:noMultiLvlLbl val="0"/>
      </c:catAx>
      <c:valAx>
        <c:axId val="323658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36444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99960600951371"/>
          <c:y val="4.0887904087365964E-2"/>
          <c:w val="0.72491282960490866"/>
          <c:h val="0.75776098339466358"/>
        </c:manualLayout>
      </c:layout>
      <c:lineChart>
        <c:grouping val="standard"/>
        <c:varyColors val="0"/>
        <c:ser>
          <c:idx val="0"/>
          <c:order val="0"/>
          <c:tx>
            <c:strRef>
              <c:f>'экспоненциальный (2)'!$B$1</c:f>
              <c:strCache>
                <c:ptCount val="1"/>
                <c:pt idx="0">
                  <c:v>ri</c:v>
                </c:pt>
              </c:strCache>
            </c:strRef>
          </c:tx>
          <c:val>
            <c:numRef>
              <c:f>'экспоненциальный (2)'!$B$2:$B$20</c:f>
              <c:numCache>
                <c:formatCode>General</c:formatCode>
                <c:ptCount val="19"/>
                <c:pt idx="0">
                  <c:v>0.13571462877531026</c:v>
                </c:pt>
                <c:pt idx="1">
                  <c:v>0.22840574706795147</c:v>
                </c:pt>
                <c:pt idx="2">
                  <c:v>0.44872278337375893</c:v>
                </c:pt>
                <c:pt idx="3">
                  <c:v>0.24301634670775629</c:v>
                </c:pt>
                <c:pt idx="4">
                  <c:v>0.69362652403602931</c:v>
                </c:pt>
                <c:pt idx="5">
                  <c:v>0.73458899883508766</c:v>
                </c:pt>
                <c:pt idx="6">
                  <c:v>3.4501097764837008E-2</c:v>
                </c:pt>
                <c:pt idx="7">
                  <c:v>0.38471371385402142</c:v>
                </c:pt>
                <c:pt idx="8">
                  <c:v>0.84257563376049083</c:v>
                </c:pt>
                <c:pt idx="9">
                  <c:v>6.3007884048485896E-2</c:v>
                </c:pt>
                <c:pt idx="10">
                  <c:v>0.6131161201876445</c:v>
                </c:pt>
                <c:pt idx="11">
                  <c:v>0.54588481094392471</c:v>
                </c:pt>
                <c:pt idx="12">
                  <c:v>0.2211215150280883</c:v>
                </c:pt>
                <c:pt idx="13">
                  <c:v>0.77900790206278847</c:v>
                </c:pt>
                <c:pt idx="14">
                  <c:v>0.47879333825065784</c:v>
                </c:pt>
                <c:pt idx="15">
                  <c:v>0.33332603143666417</c:v>
                </c:pt>
                <c:pt idx="16">
                  <c:v>0.36651047183139163</c:v>
                </c:pt>
                <c:pt idx="17">
                  <c:v>0.90124645859174002</c:v>
                </c:pt>
                <c:pt idx="18">
                  <c:v>1.1759087346603581E-2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'экспоненциальный (2)'!$C$1</c:f>
              <c:strCache>
                <c:ptCount val="1"/>
                <c:pt idx="0">
                  <c:v>xi</c:v>
                </c:pt>
              </c:strCache>
            </c:strRef>
          </c:tx>
          <c:val>
            <c:numRef>
              <c:f>'экспоненциальный (2)'!$C$2:$C$20</c:f>
              <c:numCache>
                <c:formatCode>General</c:formatCode>
                <c:ptCount val="19"/>
                <c:pt idx="0">
                  <c:v>3.9944018312559662</c:v>
                </c:pt>
                <c:pt idx="1">
                  <c:v>2.9532632784456778</c:v>
                </c:pt>
                <c:pt idx="2">
                  <c:v>1.6026999817648313</c:v>
                </c:pt>
                <c:pt idx="3">
                  <c:v>2.8292531350037029</c:v>
                </c:pt>
                <c:pt idx="4">
                  <c:v>0.73164322626780398</c:v>
                </c:pt>
                <c:pt idx="5">
                  <c:v>0.61688824286013821</c:v>
                </c:pt>
                <c:pt idx="6">
                  <c:v>6.7335282723608145</c:v>
                </c:pt>
                <c:pt idx="7">
                  <c:v>1.9105116433628244</c:v>
                </c:pt>
                <c:pt idx="8">
                  <c:v>0.34258369555098211</c:v>
                </c:pt>
                <c:pt idx="9">
                  <c:v>5.5289908335873088</c:v>
                </c:pt>
                <c:pt idx="10">
                  <c:v>0.97840186328353884</c:v>
                </c:pt>
                <c:pt idx="11">
                  <c:v>1.2106945889229717</c:v>
                </c:pt>
                <c:pt idx="12">
                  <c:v>3.0180857736318387</c:v>
                </c:pt>
                <c:pt idx="13">
                  <c:v>0.4994681786163333</c:v>
                </c:pt>
                <c:pt idx="14">
                  <c:v>1.4729724376462889</c:v>
                </c:pt>
                <c:pt idx="15">
                  <c:v>2.1972683891961005</c:v>
                </c:pt>
                <c:pt idx="16">
                  <c:v>2.0074563710718922</c:v>
                </c:pt>
                <c:pt idx="17">
                  <c:v>0.20795303966241774</c:v>
                </c:pt>
                <c:pt idx="18">
                  <c:v>8.8862578922090627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220608"/>
        <c:axId val="325230592"/>
      </c:lineChart>
      <c:catAx>
        <c:axId val="325220608"/>
        <c:scaling>
          <c:orientation val="minMax"/>
        </c:scaling>
        <c:delete val="0"/>
        <c:axPos val="b"/>
        <c:majorTickMark val="out"/>
        <c:minorTickMark val="none"/>
        <c:tickLblPos val="nextTo"/>
        <c:crossAx val="325230592"/>
        <c:crosses val="autoZero"/>
        <c:auto val="1"/>
        <c:lblAlgn val="ctr"/>
        <c:lblOffset val="100"/>
        <c:noMultiLvlLbl val="0"/>
      </c:catAx>
      <c:valAx>
        <c:axId val="325230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52206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508206474190728E-2"/>
          <c:y val="5.1400554097404488E-2"/>
          <c:w val="0.9043340832395950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биномиальный!$B$1</c:f>
              <c:strCache>
                <c:ptCount val="1"/>
                <c:pt idx="0">
                  <c:v>𝛗(x)</c:v>
                </c:pt>
              </c:strCache>
            </c:strRef>
          </c:tx>
          <c:marker>
            <c:symbol val="none"/>
          </c:marker>
          <c:val>
            <c:numRef>
              <c:f>биномиальный!$B$2:$B$22</c:f>
              <c:numCache>
                <c:formatCode>General</c:formatCode>
                <c:ptCount val="21"/>
                <c:pt idx="0">
                  <c:v>9.5367431640625E-7</c:v>
                </c:pt>
                <c:pt idx="1">
                  <c:v>1.9073486328125034E-5</c:v>
                </c:pt>
                <c:pt idx="2">
                  <c:v>1.8119812011718755E-4</c:v>
                </c:pt>
                <c:pt idx="3">
                  <c:v>1.0871887207031263E-3</c:v>
                </c:pt>
                <c:pt idx="4">
                  <c:v>4.6205520629882752E-3</c:v>
                </c:pt>
                <c:pt idx="5">
                  <c:v>1.4785766601562502E-2</c:v>
                </c:pt>
                <c:pt idx="6">
                  <c:v>3.6964416503906257E-2</c:v>
                </c:pt>
                <c:pt idx="7">
                  <c:v>7.3928833007812458E-2</c:v>
                </c:pt>
                <c:pt idx="8">
                  <c:v>0.12013435363769531</c:v>
                </c:pt>
                <c:pt idx="9">
                  <c:v>0.16017913818359369</c:v>
                </c:pt>
                <c:pt idx="10">
                  <c:v>0.17619705200195307</c:v>
                </c:pt>
                <c:pt idx="11">
                  <c:v>0.16017913818359369</c:v>
                </c:pt>
                <c:pt idx="12">
                  <c:v>0.12013435363769531</c:v>
                </c:pt>
                <c:pt idx="13">
                  <c:v>7.3928833007812472E-2</c:v>
                </c:pt>
                <c:pt idx="14">
                  <c:v>3.6964416503906257E-2</c:v>
                </c:pt>
                <c:pt idx="15">
                  <c:v>1.4785766601562502E-2</c:v>
                </c:pt>
                <c:pt idx="16">
                  <c:v>4.6205520629882752E-3</c:v>
                </c:pt>
                <c:pt idx="17">
                  <c:v>1.0871887207031261E-3</c:v>
                </c:pt>
                <c:pt idx="18">
                  <c:v>1.8119812011718753E-4</c:v>
                </c:pt>
                <c:pt idx="19">
                  <c:v>1.9073486328125E-5</c:v>
                </c:pt>
                <c:pt idx="20">
                  <c:v>9.5367431640625E-7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биномиальный!$C$1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val>
            <c:numRef>
              <c:f>биномиальный!$C$2:$C$22</c:f>
              <c:numCache>
                <c:formatCode>General</c:formatCode>
                <c:ptCount val="21"/>
                <c:pt idx="0">
                  <c:v>9.5367431640625E-7</c:v>
                </c:pt>
                <c:pt idx="1">
                  <c:v>2.002716064453125E-5</c:v>
                </c:pt>
                <c:pt idx="2">
                  <c:v>2.0122528076171875E-4</c:v>
                </c:pt>
                <c:pt idx="3">
                  <c:v>1.2884140014648442E-3</c:v>
                </c:pt>
                <c:pt idx="4">
                  <c:v>5.9089660644531285E-3</c:v>
                </c:pt>
                <c:pt idx="5">
                  <c:v>2.0694732666015635E-2</c:v>
                </c:pt>
                <c:pt idx="6">
                  <c:v>5.7659149169921903E-2</c:v>
                </c:pt>
                <c:pt idx="7">
                  <c:v>0.13158798217773449</c:v>
                </c:pt>
                <c:pt idx="8">
                  <c:v>0.25172233581542974</c:v>
                </c:pt>
                <c:pt idx="9">
                  <c:v>0.41190147399902349</c:v>
                </c:pt>
                <c:pt idx="10">
                  <c:v>0.58809852600097656</c:v>
                </c:pt>
                <c:pt idx="11">
                  <c:v>0.74827766418457031</c:v>
                </c:pt>
                <c:pt idx="12">
                  <c:v>0.86841201782226551</c:v>
                </c:pt>
                <c:pt idx="13">
                  <c:v>0.94234085083007813</c:v>
                </c:pt>
                <c:pt idx="14">
                  <c:v>0.97930526733398438</c:v>
                </c:pt>
                <c:pt idx="15">
                  <c:v>0.99409103393554688</c:v>
                </c:pt>
                <c:pt idx="16">
                  <c:v>0.99871158599853516</c:v>
                </c:pt>
                <c:pt idx="17">
                  <c:v>0.99979877471923828</c:v>
                </c:pt>
                <c:pt idx="18">
                  <c:v>0.99997997283935547</c:v>
                </c:pt>
                <c:pt idx="19">
                  <c:v>0.99999904632568359</c:v>
                </c:pt>
                <c:pt idx="2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265280"/>
        <c:axId val="325266816"/>
      </c:lineChart>
      <c:catAx>
        <c:axId val="325265280"/>
        <c:scaling>
          <c:orientation val="minMax"/>
        </c:scaling>
        <c:delete val="0"/>
        <c:axPos val="b"/>
        <c:majorTickMark val="out"/>
        <c:minorTickMark val="none"/>
        <c:tickLblPos val="nextTo"/>
        <c:crossAx val="325266816"/>
        <c:crosses val="autoZero"/>
        <c:auto val="1"/>
        <c:lblAlgn val="ctr"/>
        <c:lblOffset val="100"/>
        <c:noMultiLvlLbl val="0"/>
      </c:catAx>
      <c:valAx>
        <c:axId val="32526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526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91122984626922"/>
          <c:y val="0.33484106153397492"/>
          <c:w val="0.20901199850018748"/>
          <c:h val="0.41365121026538348"/>
        </c:manualLayout>
      </c:layout>
      <c:overlay val="0"/>
      <c:txPr>
        <a:bodyPr/>
        <a:lstStyle/>
        <a:p>
          <a:pPr>
            <a:defRPr sz="3200"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508206474190728E-2"/>
          <c:y val="5.1400554097404488E-2"/>
          <c:w val="0.9043340832395950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Пуассон!$B$1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val>
            <c:numRef>
              <c:f>Пуассон!$B$2:$B$22</c:f>
              <c:numCache>
                <c:formatCode>General</c:formatCode>
                <c:ptCount val="21"/>
                <c:pt idx="0">
                  <c:v>4.5399929762484854E-5</c:v>
                </c:pt>
                <c:pt idx="1">
                  <c:v>4.9939922738733344E-4</c:v>
                </c:pt>
                <c:pt idx="2">
                  <c:v>2.7693957155115762E-3</c:v>
                </c:pt>
                <c:pt idx="3">
                  <c:v>1.0336050675925718E-2</c:v>
                </c:pt>
                <c:pt idx="4">
                  <c:v>2.9252688076961065E-2</c:v>
                </c:pt>
                <c:pt idx="5">
                  <c:v>6.7085962879031805E-2</c:v>
                </c:pt>
                <c:pt idx="6">
                  <c:v>0.13014142088248298</c:v>
                </c:pt>
                <c:pt idx="7">
                  <c:v>0.22022064660169899</c:v>
                </c:pt>
                <c:pt idx="8">
                  <c:v>0.33281967875071894</c:v>
                </c:pt>
                <c:pt idx="9">
                  <c:v>0.45792971447185227</c:v>
                </c:pt>
                <c:pt idx="10">
                  <c:v>0.58303975019298537</c:v>
                </c:pt>
                <c:pt idx="11">
                  <c:v>0.69677614630310658</c:v>
                </c:pt>
                <c:pt idx="12">
                  <c:v>0.79155647639487436</c:v>
                </c:pt>
                <c:pt idx="13">
                  <c:v>0.864464422619311</c:v>
                </c:pt>
                <c:pt idx="14">
                  <c:v>0.9165415270653372</c:v>
                </c:pt>
                <c:pt idx="15">
                  <c:v>0.95125959669602134</c:v>
                </c:pt>
                <c:pt idx="16">
                  <c:v>0.97295839021519881</c:v>
                </c:pt>
                <c:pt idx="17">
                  <c:v>0.9857223864029504</c:v>
                </c:pt>
                <c:pt idx="18">
                  <c:v>0.99281349539614561</c:v>
                </c:pt>
                <c:pt idx="19">
                  <c:v>0.99654565802414319</c:v>
                </c:pt>
                <c:pt idx="20">
                  <c:v>0.99841173933814198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Пуассон!$C$1</c:f>
              <c:strCache>
                <c:ptCount val="1"/>
                <c:pt idx="0">
                  <c:v>𝛗(x)</c:v>
                </c:pt>
              </c:strCache>
            </c:strRef>
          </c:tx>
          <c:marker>
            <c:symbol val="none"/>
          </c:marker>
          <c:val>
            <c:numRef>
              <c:f>Пуассон!$C$2:$C$22</c:f>
              <c:numCache>
                <c:formatCode>General</c:formatCode>
                <c:ptCount val="21"/>
                <c:pt idx="0">
                  <c:v>4.5399929762484854E-5</c:v>
                </c:pt>
                <c:pt idx="1">
                  <c:v>4.5399929762484861E-4</c:v>
                </c:pt>
                <c:pt idx="2">
                  <c:v>2.2699964881242444E-3</c:v>
                </c:pt>
                <c:pt idx="3">
                  <c:v>7.5666549604141483E-3</c:v>
                </c:pt>
                <c:pt idx="4">
                  <c:v>1.8916637401035354E-2</c:v>
                </c:pt>
                <c:pt idx="5">
                  <c:v>3.7833274802070715E-2</c:v>
                </c:pt>
                <c:pt idx="6">
                  <c:v>6.3055458003451192E-2</c:v>
                </c:pt>
                <c:pt idx="7">
                  <c:v>9.0079225719215977E-2</c:v>
                </c:pt>
                <c:pt idx="8">
                  <c:v>0.11259903214901996</c:v>
                </c:pt>
                <c:pt idx="9">
                  <c:v>0.1251100357211333</c:v>
                </c:pt>
                <c:pt idx="10">
                  <c:v>0.1251100357211333</c:v>
                </c:pt>
                <c:pt idx="11">
                  <c:v>0.11373639611012118</c:v>
                </c:pt>
                <c:pt idx="12">
                  <c:v>9.4780330091767673E-2</c:v>
                </c:pt>
                <c:pt idx="13">
                  <c:v>7.2907946224436637E-2</c:v>
                </c:pt>
                <c:pt idx="14">
                  <c:v>5.2077104446026187E-2</c:v>
                </c:pt>
                <c:pt idx="15">
                  <c:v>3.4718069630684127E-2</c:v>
                </c:pt>
                <c:pt idx="16">
                  <c:v>2.1698793519177549E-2</c:v>
                </c:pt>
                <c:pt idx="17">
                  <c:v>1.2763996187751522E-2</c:v>
                </c:pt>
                <c:pt idx="18">
                  <c:v>7.0911089931952852E-3</c:v>
                </c:pt>
                <c:pt idx="19">
                  <c:v>3.7321626279975249E-3</c:v>
                </c:pt>
                <c:pt idx="20">
                  <c:v>1.8660813139987594E-3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575040"/>
        <c:axId val="325576576"/>
      </c:lineChart>
      <c:catAx>
        <c:axId val="325575040"/>
        <c:scaling>
          <c:orientation val="minMax"/>
        </c:scaling>
        <c:delete val="0"/>
        <c:axPos val="b"/>
        <c:majorTickMark val="out"/>
        <c:minorTickMark val="none"/>
        <c:tickLblPos val="nextTo"/>
        <c:crossAx val="325576576"/>
        <c:crosses val="autoZero"/>
        <c:auto val="1"/>
        <c:lblAlgn val="ctr"/>
        <c:lblOffset val="100"/>
        <c:noMultiLvlLbl val="0"/>
      </c:catAx>
      <c:valAx>
        <c:axId val="325576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557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91122984626922"/>
          <c:y val="0.33484106153397492"/>
          <c:w val="0.20901199850018748"/>
          <c:h val="0.41365121026538348"/>
        </c:manualLayout>
      </c:layout>
      <c:overlay val="0"/>
      <c:txPr>
        <a:bodyPr/>
        <a:lstStyle/>
        <a:p>
          <a:pPr>
            <a:defRPr sz="3200"/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геометрическое!$B$1</c:f>
              <c:strCache>
                <c:ptCount val="1"/>
                <c:pt idx="0">
                  <c:v>F(x)</c:v>
                </c:pt>
              </c:strCache>
            </c:strRef>
          </c:tx>
          <c:spPr>
            <a:ln w="60325"/>
          </c:spPr>
          <c:marker>
            <c:symbol val="none"/>
          </c:marker>
          <c:val>
            <c:numRef>
              <c:f>геометрическое!$B$2:$B$21</c:f>
              <c:numCache>
                <c:formatCode>General</c:formatCode>
                <c:ptCount val="20"/>
                <c:pt idx="0">
                  <c:v>0.6</c:v>
                </c:pt>
                <c:pt idx="1">
                  <c:v>0.84</c:v>
                </c:pt>
                <c:pt idx="2">
                  <c:v>0.93599999999999994</c:v>
                </c:pt>
                <c:pt idx="3">
                  <c:v>0.97439999999999993</c:v>
                </c:pt>
                <c:pt idx="4">
                  <c:v>0.98975999999999997</c:v>
                </c:pt>
                <c:pt idx="5">
                  <c:v>0.99590400000000001</c:v>
                </c:pt>
                <c:pt idx="6">
                  <c:v>0.99836159999999996</c:v>
                </c:pt>
                <c:pt idx="7">
                  <c:v>0.99934464000000001</c:v>
                </c:pt>
                <c:pt idx="8">
                  <c:v>0.99973785599999998</c:v>
                </c:pt>
                <c:pt idx="9">
                  <c:v>0.99989514239999999</c:v>
                </c:pt>
                <c:pt idx="10">
                  <c:v>0.99995805695999995</c:v>
                </c:pt>
                <c:pt idx="11">
                  <c:v>0.99998322278399998</c:v>
                </c:pt>
                <c:pt idx="12">
                  <c:v>0.99999328911359997</c:v>
                </c:pt>
                <c:pt idx="13">
                  <c:v>0.99999731564543992</c:v>
                </c:pt>
                <c:pt idx="14">
                  <c:v>0.99999892625817588</c:v>
                </c:pt>
                <c:pt idx="15">
                  <c:v>0.99999957050327026</c:v>
                </c:pt>
                <c:pt idx="16">
                  <c:v>0.99999982820130806</c:v>
                </c:pt>
                <c:pt idx="17">
                  <c:v>0.99999993128052311</c:v>
                </c:pt>
                <c:pt idx="18">
                  <c:v>0.99999997251220918</c:v>
                </c:pt>
                <c:pt idx="19">
                  <c:v>0.99999998900488363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геометрическое!$C$1</c:f>
              <c:strCache>
                <c:ptCount val="1"/>
                <c:pt idx="0">
                  <c:v>𝛗(x)</c:v>
                </c:pt>
              </c:strCache>
            </c:strRef>
          </c:tx>
          <c:spPr>
            <a:ln w="47625"/>
          </c:spPr>
          <c:marker>
            <c:symbol val="none"/>
          </c:marker>
          <c:val>
            <c:numRef>
              <c:f>геометрическое!$C$2:$C$21</c:f>
              <c:numCache>
                <c:formatCode>General</c:formatCode>
                <c:ptCount val="20"/>
                <c:pt idx="0">
                  <c:v>0.6</c:v>
                </c:pt>
                <c:pt idx="1">
                  <c:v>0.24</c:v>
                </c:pt>
                <c:pt idx="2">
                  <c:v>9.6000000000000016E-2</c:v>
                </c:pt>
                <c:pt idx="3">
                  <c:v>3.8400000000000011E-2</c:v>
                </c:pt>
                <c:pt idx="4">
                  <c:v>1.5360000000000006E-2</c:v>
                </c:pt>
                <c:pt idx="5">
                  <c:v>6.1440000000000036E-3</c:v>
                </c:pt>
                <c:pt idx="6">
                  <c:v>2.4576000000000012E-3</c:v>
                </c:pt>
                <c:pt idx="7">
                  <c:v>9.8304000000000078E-4</c:v>
                </c:pt>
                <c:pt idx="8">
                  <c:v>3.9321600000000032E-4</c:v>
                </c:pt>
                <c:pt idx="9">
                  <c:v>1.5728640000000013E-4</c:v>
                </c:pt>
                <c:pt idx="10">
                  <c:v>6.2914560000000067E-5</c:v>
                </c:pt>
                <c:pt idx="11">
                  <c:v>2.5165824000000025E-5</c:v>
                </c:pt>
                <c:pt idx="12">
                  <c:v>1.0066329600000013E-5</c:v>
                </c:pt>
                <c:pt idx="13">
                  <c:v>4.0265318400000057E-6</c:v>
                </c:pt>
                <c:pt idx="14">
                  <c:v>1.6106127360000022E-6</c:v>
                </c:pt>
                <c:pt idx="15">
                  <c:v>6.4424509440000105E-7</c:v>
                </c:pt>
                <c:pt idx="16">
                  <c:v>2.5769803776000043E-7</c:v>
                </c:pt>
                <c:pt idx="17">
                  <c:v>1.0307921510400018E-7</c:v>
                </c:pt>
                <c:pt idx="18">
                  <c:v>4.1231686041600072E-8</c:v>
                </c:pt>
                <c:pt idx="19">
                  <c:v>1.6492674416640031E-8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960832"/>
        <c:axId val="325962368"/>
      </c:lineChart>
      <c:catAx>
        <c:axId val="325960832"/>
        <c:scaling>
          <c:orientation val="minMax"/>
        </c:scaling>
        <c:delete val="0"/>
        <c:axPos val="b"/>
        <c:majorTickMark val="out"/>
        <c:minorTickMark val="none"/>
        <c:tickLblPos val="nextTo"/>
        <c:crossAx val="325962368"/>
        <c:crosses val="autoZero"/>
        <c:auto val="1"/>
        <c:lblAlgn val="ctr"/>
        <c:lblOffset val="100"/>
        <c:noMultiLvlLbl val="0"/>
      </c:catAx>
      <c:valAx>
        <c:axId val="325962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59608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28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гипер_геометрическое!$A$10</c:f>
              <c:strCache>
                <c:ptCount val="1"/>
                <c:pt idx="0">
                  <c:v>P(A) =</c:v>
                </c:pt>
              </c:strCache>
            </c:strRef>
          </c:tx>
          <c:marker>
            <c:symbol val="none"/>
          </c:marker>
          <c:val>
            <c:numRef>
              <c:f>гипер_геометрическое!$B$10:$H$10</c:f>
              <c:numCache>
                <c:formatCode>General</c:formatCode>
                <c:ptCount val="7"/>
                <c:pt idx="0">
                  <c:v>0.40056463672459136</c:v>
                </c:pt>
                <c:pt idx="1">
                  <c:v>0.42412726241427318</c:v>
                </c:pt>
                <c:pt idx="2">
                  <c:v>0.15147402229081183</c:v>
                </c:pt>
                <c:pt idx="3">
                  <c:v>2.244059589493513E-2</c:v>
                </c:pt>
                <c:pt idx="4">
                  <c:v>1.3646308314487566E-3</c:v>
                </c:pt>
                <c:pt idx="5">
                  <c:v>2.8729070135763278E-5</c:v>
                </c:pt>
                <c:pt idx="6">
                  <c:v>1.2277380399898855E-7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гипер_геометрическое!$A$11</c:f>
              <c:strCache>
                <c:ptCount val="1"/>
                <c:pt idx="0">
                  <c:v>𝛗(x) = </c:v>
                </c:pt>
              </c:strCache>
            </c:strRef>
          </c:tx>
          <c:marker>
            <c:symbol val="none"/>
          </c:marker>
          <c:val>
            <c:numRef>
              <c:f>гипер_геометрическое!$B$11:$H$11</c:f>
              <c:numCache>
                <c:formatCode>General</c:formatCode>
                <c:ptCount val="7"/>
                <c:pt idx="0">
                  <c:v>0.40056463672459136</c:v>
                </c:pt>
                <c:pt idx="1">
                  <c:v>0.82469189913886454</c:v>
                </c:pt>
                <c:pt idx="2">
                  <c:v>0.9761659214296764</c:v>
                </c:pt>
                <c:pt idx="3">
                  <c:v>0.99860651732461148</c:v>
                </c:pt>
                <c:pt idx="4">
                  <c:v>0.99997114815606025</c:v>
                </c:pt>
                <c:pt idx="5">
                  <c:v>0.99999987722619599</c:v>
                </c:pt>
                <c:pt idx="6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780224"/>
        <c:axId val="325781760"/>
      </c:lineChart>
      <c:catAx>
        <c:axId val="325780224"/>
        <c:scaling>
          <c:orientation val="minMax"/>
        </c:scaling>
        <c:delete val="0"/>
        <c:axPos val="b"/>
        <c:majorTickMark val="out"/>
        <c:minorTickMark val="none"/>
        <c:tickLblPos val="nextTo"/>
        <c:crossAx val="325781760"/>
        <c:crosses val="autoZero"/>
        <c:auto val="1"/>
        <c:lblAlgn val="ctr"/>
        <c:lblOffset val="100"/>
        <c:noMultiLvlLbl val="0"/>
      </c:catAx>
      <c:valAx>
        <c:axId val="325781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578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0679155730533676"/>
          <c:y val="0.38796121196147554"/>
          <c:w val="0.24979177602799649"/>
          <c:h val="0.35628042862797654"/>
        </c:manualLayout>
      </c:layout>
      <c:overlay val="0"/>
      <c:txPr>
        <a:bodyPr/>
        <a:lstStyle/>
        <a:p>
          <a:pPr>
            <a:defRPr sz="20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wmf"/><Relationship Id="rId1" Type="http://schemas.openxmlformats.org/officeDocument/2006/relationships/image" Target="../media/image2.w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wmf"/><Relationship Id="rId1" Type="http://schemas.openxmlformats.org/officeDocument/2006/relationships/image" Target="../media/image2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9</xdr:row>
      <xdr:rowOff>47626</xdr:rowOff>
    </xdr:from>
    <xdr:to>
      <xdr:col>10</xdr:col>
      <xdr:colOff>285750</xdr:colOff>
      <xdr:row>22</xdr:row>
      <xdr:rowOff>190501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152400</xdr:colOff>
      <xdr:row>2</xdr:row>
      <xdr:rowOff>142875</xdr:rowOff>
    </xdr:from>
    <xdr:to>
      <xdr:col>9</xdr:col>
      <xdr:colOff>581025</xdr:colOff>
      <xdr:row>4</xdr:row>
      <xdr:rowOff>133351</xdr:rowOff>
    </xdr:to>
    <xdr:sp macro="" textlink="">
      <xdr:nvSpPr>
        <xdr:cNvPr id="8" name="Скругленная прямоугольная выноска 7"/>
        <xdr:cNvSpPr/>
      </xdr:nvSpPr>
      <xdr:spPr>
        <a:xfrm>
          <a:off x="2857500" y="847725"/>
          <a:ext cx="4448175" cy="504826"/>
        </a:xfrm>
        <a:prstGeom prst="wedgeRoundRectCallout">
          <a:avLst>
            <a:gd name="adj1" fmla="val -54007"/>
            <a:gd name="adj2" fmla="val -91274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=НОРМ.РАСП(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A2;$F$1;$F$2;1)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152400</xdr:colOff>
      <xdr:row>6</xdr:row>
      <xdr:rowOff>133350</xdr:rowOff>
    </xdr:from>
    <xdr:to>
      <xdr:col>9</xdr:col>
      <xdr:colOff>581025</xdr:colOff>
      <xdr:row>8</xdr:row>
      <xdr:rowOff>123826</xdr:rowOff>
    </xdr:to>
    <xdr:sp macro="" textlink="">
      <xdr:nvSpPr>
        <xdr:cNvPr id="12" name="Скругленная прямоугольная выноска 11"/>
        <xdr:cNvSpPr/>
      </xdr:nvSpPr>
      <xdr:spPr>
        <a:xfrm>
          <a:off x="2857500" y="1866900"/>
          <a:ext cx="4448175" cy="504826"/>
        </a:xfrm>
        <a:prstGeom prst="wedgeRoundRectCallout">
          <a:avLst>
            <a:gd name="adj1" fmla="val -74778"/>
            <a:gd name="adj2" fmla="val -289386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=НОРМ.РАСП(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A2;$F$1;$F$2;0)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323850</xdr:colOff>
      <xdr:row>0</xdr:row>
      <xdr:rowOff>0</xdr:rowOff>
    </xdr:from>
    <xdr:to>
      <xdr:col>11</xdr:col>
      <xdr:colOff>123825</xdr:colOff>
      <xdr:row>2</xdr:row>
      <xdr:rowOff>28575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0"/>
          <a:ext cx="3209925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76201</xdr:colOff>
      <xdr:row>25</xdr:row>
      <xdr:rowOff>19050</xdr:rowOff>
    </xdr:from>
    <xdr:to>
      <xdr:col>13</xdr:col>
      <xdr:colOff>846666</xdr:colOff>
      <xdr:row>26</xdr:row>
      <xdr:rowOff>123825</xdr:rowOff>
    </xdr:to>
    <xdr:sp macro="" textlink="">
      <xdr:nvSpPr>
        <xdr:cNvPr id="6" name="Выноска 1 5"/>
        <xdr:cNvSpPr/>
      </xdr:nvSpPr>
      <xdr:spPr>
        <a:xfrm>
          <a:off x="76201" y="7543800"/>
          <a:ext cx="10581215" cy="295275"/>
        </a:xfrm>
        <a:prstGeom prst="borderCallout1">
          <a:avLst>
            <a:gd name="adj1" fmla="val -7594"/>
            <a:gd name="adj2" fmla="val 74654"/>
            <a:gd name="adj3" fmla="val -2385679"/>
            <a:gd name="adj4" fmla="val 8221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=$F$1+$F$2*(</a:t>
          </a:r>
          <a:r>
            <a:rPr lang="ru-RU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СЛЧИС()+СЛЧИС()+СЛЧИС()+СЛЧИС()+СЛЧИС()+СЛЧИС()+СЛЧИС()+СЛЧИС()+СЛЧИС()+СЛЧИС()+СЛЧИС()+СЛЧИС()</a:t>
          </a:r>
          <a:r>
            <a:rPr lang="en-US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2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-6)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542924</xdr:colOff>
      <xdr:row>1</xdr:row>
      <xdr:rowOff>9525</xdr:rowOff>
    </xdr:from>
    <xdr:to>
      <xdr:col>12</xdr:col>
      <xdr:colOff>352425</xdr:colOff>
      <xdr:row>13</xdr:row>
      <xdr:rowOff>104775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9523</xdr:colOff>
      <xdr:row>18</xdr:row>
      <xdr:rowOff>123825</xdr:rowOff>
    </xdr:from>
    <xdr:to>
      <xdr:col>8</xdr:col>
      <xdr:colOff>447675</xdr:colOff>
      <xdr:row>19</xdr:row>
      <xdr:rowOff>95250</xdr:rowOff>
    </xdr:to>
    <xdr:sp macro="" textlink="">
      <xdr:nvSpPr>
        <xdr:cNvPr id="9" name="Скругленная прямоугольная выноска 8"/>
        <xdr:cNvSpPr/>
      </xdr:nvSpPr>
      <xdr:spPr>
        <a:xfrm>
          <a:off x="9523" y="4800600"/>
          <a:ext cx="6048377" cy="295275"/>
        </a:xfrm>
        <a:prstGeom prst="wedgeRoundRectCallout">
          <a:avLst>
            <a:gd name="adj1" fmla="val -34203"/>
            <a:gd name="adj2" fmla="val -1444690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A3&lt;=$B$1;0;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A3&lt;=$D$1;(A3-$B$1)/($D$1-$B$1);1))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152401</xdr:colOff>
      <xdr:row>14</xdr:row>
      <xdr:rowOff>123825</xdr:rowOff>
    </xdr:from>
    <xdr:to>
      <xdr:col>12</xdr:col>
      <xdr:colOff>114301</xdr:colOff>
      <xdr:row>15</xdr:row>
      <xdr:rowOff>200025</xdr:rowOff>
    </xdr:to>
    <xdr:sp macro="" textlink="">
      <xdr:nvSpPr>
        <xdr:cNvPr id="11" name="Скругленная прямоугольная выноска 10"/>
        <xdr:cNvSpPr/>
      </xdr:nvSpPr>
      <xdr:spPr>
        <a:xfrm>
          <a:off x="2714626" y="3724275"/>
          <a:ext cx="5448300" cy="333375"/>
        </a:xfrm>
        <a:prstGeom prst="wedgeRoundRectCallout">
          <a:avLst>
            <a:gd name="adj1" fmla="val -53983"/>
            <a:gd name="adj2" fmla="val -983215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A3&lt;$B$1; 0; </a:t>
          </a:r>
          <a:r>
            <a:rPr lang="ru-RU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ЕСЛИ(</a:t>
          </a:r>
          <a:r>
            <a: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A3&lt;=$D$1;(1/($D$1-$B$1));0))</a:t>
          </a:r>
          <a:endParaRPr lang="ru-RU" sz="16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523876</xdr:colOff>
      <xdr:row>16</xdr:row>
      <xdr:rowOff>66675</xdr:rowOff>
    </xdr:from>
    <xdr:to>
      <xdr:col>12</xdr:col>
      <xdr:colOff>485776</xdr:colOff>
      <xdr:row>17</xdr:row>
      <xdr:rowOff>142875</xdr:rowOff>
    </xdr:to>
    <xdr:sp macro="" textlink="">
      <xdr:nvSpPr>
        <xdr:cNvPr id="2" name="Выноска 1 1"/>
        <xdr:cNvSpPr/>
      </xdr:nvSpPr>
      <xdr:spPr>
        <a:xfrm>
          <a:off x="5524501" y="4314825"/>
          <a:ext cx="3009900" cy="333375"/>
        </a:xfrm>
        <a:prstGeom prst="borderCallout1">
          <a:avLst>
            <a:gd name="adj1" fmla="val -2764"/>
            <a:gd name="adj2" fmla="val 90467"/>
            <a:gd name="adj3" fmla="val -1061889"/>
            <a:gd name="adj4" fmla="val 10706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600" b="1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=СЛЧИС()*($</a:t>
          </a:r>
          <a:r>
            <a:rPr lang="en-US" sz="1600" b="1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D$1-$B$1)+$B$1</a:t>
          </a:r>
          <a:endParaRPr lang="ru-RU" sz="1600" b="1">
            <a:solidFill>
              <a:srgbClr val="C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57150</xdr:colOff>
          <xdr:row>20</xdr:row>
          <xdr:rowOff>123825</xdr:rowOff>
        </xdr:from>
        <xdr:to>
          <xdr:col>2</xdr:col>
          <xdr:colOff>990600</xdr:colOff>
          <xdr:row>21</xdr:row>
          <xdr:rowOff>438150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561975</xdr:colOff>
          <xdr:row>20</xdr:row>
          <xdr:rowOff>114300</xdr:rowOff>
        </xdr:from>
        <xdr:to>
          <xdr:col>11</xdr:col>
          <xdr:colOff>523875</xdr:colOff>
          <xdr:row>21</xdr:row>
          <xdr:rowOff>400050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104776</xdr:colOff>
      <xdr:row>6</xdr:row>
      <xdr:rowOff>247649</xdr:rowOff>
    </xdr:from>
    <xdr:to>
      <xdr:col>8</xdr:col>
      <xdr:colOff>295276</xdr:colOff>
      <xdr:row>14</xdr:row>
      <xdr:rowOff>85724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381000</xdr:colOff>
      <xdr:row>2</xdr:row>
      <xdr:rowOff>95249</xdr:rowOff>
    </xdr:from>
    <xdr:to>
      <xdr:col>8</xdr:col>
      <xdr:colOff>200025</xdr:colOff>
      <xdr:row>3</xdr:row>
      <xdr:rowOff>190499</xdr:rowOff>
    </xdr:to>
    <xdr:sp macro="" textlink="">
      <xdr:nvSpPr>
        <xdr:cNvPr id="6" name="Скругленная прямоугольная выноска 5"/>
        <xdr:cNvSpPr/>
      </xdr:nvSpPr>
      <xdr:spPr>
        <a:xfrm>
          <a:off x="3295650" y="752474"/>
          <a:ext cx="3686175" cy="390525"/>
        </a:xfrm>
        <a:prstGeom prst="wedgeRoundRectCallout">
          <a:avLst>
            <a:gd name="adj1" fmla="val 67505"/>
            <a:gd name="adj2" fmla="val -99126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=ЭКСП.РАСП(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A2;$F$2;0)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333376</xdr:colOff>
      <xdr:row>4</xdr:row>
      <xdr:rowOff>152399</xdr:rowOff>
    </xdr:from>
    <xdr:to>
      <xdr:col>8</xdr:col>
      <xdr:colOff>142876</xdr:colOff>
      <xdr:row>6</xdr:row>
      <xdr:rowOff>142875</xdr:rowOff>
    </xdr:to>
    <xdr:sp macro="" textlink="">
      <xdr:nvSpPr>
        <xdr:cNvPr id="10" name="Скругленная прямоугольная выноска 9"/>
        <xdr:cNvSpPr/>
      </xdr:nvSpPr>
      <xdr:spPr>
        <a:xfrm>
          <a:off x="3248026" y="1362074"/>
          <a:ext cx="3676650" cy="504826"/>
        </a:xfrm>
        <a:prstGeom prst="wedgeRoundRectCallout">
          <a:avLst>
            <a:gd name="adj1" fmla="val 107020"/>
            <a:gd name="adj2" fmla="val -200708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=ЭКСП.РАСП(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A2;$F$2;1)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123824</xdr:colOff>
      <xdr:row>15</xdr:row>
      <xdr:rowOff>57149</xdr:rowOff>
    </xdr:from>
    <xdr:to>
      <xdr:col>8</xdr:col>
      <xdr:colOff>380999</xdr:colOff>
      <xdr:row>21</xdr:row>
      <xdr:rowOff>276225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247650</xdr:colOff>
          <xdr:row>15</xdr:row>
          <xdr:rowOff>238125</xdr:rowOff>
        </xdr:from>
        <xdr:to>
          <xdr:col>9</xdr:col>
          <xdr:colOff>228600</xdr:colOff>
          <xdr:row>17</xdr:row>
          <xdr:rowOff>238125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333375</xdr:colOff>
          <xdr:row>18</xdr:row>
          <xdr:rowOff>19050</xdr:rowOff>
        </xdr:from>
        <xdr:to>
          <xdr:col>7</xdr:col>
          <xdr:colOff>323850</xdr:colOff>
          <xdr:row>19</xdr:row>
          <xdr:rowOff>238125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4</xdr:col>
      <xdr:colOff>133352</xdr:colOff>
      <xdr:row>2</xdr:row>
      <xdr:rowOff>276224</xdr:rowOff>
    </xdr:from>
    <xdr:to>
      <xdr:col>9</xdr:col>
      <xdr:colOff>76201</xdr:colOff>
      <xdr:row>15</xdr:row>
      <xdr:rowOff>76200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114299</xdr:colOff>
      <xdr:row>20</xdr:row>
      <xdr:rowOff>19049</xdr:rowOff>
    </xdr:from>
    <xdr:to>
      <xdr:col>5</xdr:col>
      <xdr:colOff>857249</xdr:colOff>
      <xdr:row>21</xdr:row>
      <xdr:rowOff>133349</xdr:rowOff>
    </xdr:to>
    <xdr:sp macro="" textlink="">
      <xdr:nvSpPr>
        <xdr:cNvPr id="3" name="Выноска 1 2"/>
        <xdr:cNvSpPr/>
      </xdr:nvSpPr>
      <xdr:spPr>
        <a:xfrm>
          <a:off x="4038599" y="5343524"/>
          <a:ext cx="2257425" cy="409575"/>
        </a:xfrm>
        <a:prstGeom prst="borderCallout1">
          <a:avLst>
            <a:gd name="adj1" fmla="val -3125"/>
            <a:gd name="adj2" fmla="val 9568"/>
            <a:gd name="adj3" fmla="val -1179578"/>
            <a:gd name="adj4" fmla="val -5772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 - 1/$F$2*LN(B2)</a:t>
          </a:r>
          <a:endParaRPr lang="ru-RU" sz="20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8</xdr:row>
      <xdr:rowOff>95250</xdr:rowOff>
    </xdr:from>
    <xdr:to>
      <xdr:col>10</xdr:col>
      <xdr:colOff>371475</xdr:colOff>
      <xdr:row>19</xdr:row>
      <xdr:rowOff>9525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</xdr:colOff>
      <xdr:row>2</xdr:row>
      <xdr:rowOff>238125</xdr:rowOff>
    </xdr:from>
    <xdr:to>
      <xdr:col>10</xdr:col>
      <xdr:colOff>19050</xdr:colOff>
      <xdr:row>4</xdr:row>
      <xdr:rowOff>114300</xdr:rowOff>
    </xdr:to>
    <xdr:sp macro="" textlink="">
      <xdr:nvSpPr>
        <xdr:cNvPr id="3" name="Скругленная прямоугольная выноска 2"/>
        <xdr:cNvSpPr/>
      </xdr:nvSpPr>
      <xdr:spPr>
        <a:xfrm>
          <a:off x="4181475" y="1447800"/>
          <a:ext cx="4752975" cy="390525"/>
        </a:xfrm>
        <a:prstGeom prst="wedgeRoundRectCallout">
          <a:avLst>
            <a:gd name="adj1" fmla="val -69446"/>
            <a:gd name="adj2" fmla="val -128394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=БИНОМ.РАСП(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A2;$F$1;$F$2;1)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171450</xdr:colOff>
      <xdr:row>6</xdr:row>
      <xdr:rowOff>28575</xdr:rowOff>
    </xdr:from>
    <xdr:to>
      <xdr:col>9</xdr:col>
      <xdr:colOff>95250</xdr:colOff>
      <xdr:row>7</xdr:row>
      <xdr:rowOff>161925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3609975" y="2266950"/>
          <a:ext cx="4791075" cy="390525"/>
        </a:xfrm>
        <a:prstGeom prst="wedgeRoundRectCallout">
          <a:avLst>
            <a:gd name="adj1" fmla="val -85550"/>
            <a:gd name="adj2" fmla="val -338150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=БИНОМ.РАСП(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A2;$F$1;$F$2;0)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142875</xdr:colOff>
      <xdr:row>0</xdr:row>
      <xdr:rowOff>552450</xdr:rowOff>
    </xdr:from>
    <xdr:to>
      <xdr:col>10</xdr:col>
      <xdr:colOff>361950</xdr:colOff>
      <xdr:row>1</xdr:row>
      <xdr:rowOff>57150</xdr:rowOff>
    </xdr:to>
    <xdr:sp macro="" textlink="">
      <xdr:nvSpPr>
        <xdr:cNvPr id="6" name="Скругленная прямоугольная выноска 5"/>
        <xdr:cNvSpPr/>
      </xdr:nvSpPr>
      <xdr:spPr>
        <a:xfrm>
          <a:off x="6619875" y="552450"/>
          <a:ext cx="2657475" cy="390525"/>
        </a:xfrm>
        <a:prstGeom prst="wedgeRoundRectCallout">
          <a:avLst>
            <a:gd name="adj1" fmla="val 63904"/>
            <a:gd name="adj2" fmla="val 54532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=СУММ($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B$2:B2)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1227667</xdr:colOff>
      <xdr:row>23</xdr:row>
      <xdr:rowOff>232834</xdr:rowOff>
    </xdr:from>
    <xdr:to>
      <xdr:col>8</xdr:col>
      <xdr:colOff>179916</xdr:colOff>
      <xdr:row>25</xdr:row>
      <xdr:rowOff>137583</xdr:rowOff>
    </xdr:to>
    <xdr:cxnSp macro="">
      <xdr:nvCxnSpPr>
        <xdr:cNvPr id="7" name="Прямая со стрелкой 6"/>
        <xdr:cNvCxnSpPr/>
      </xdr:nvCxnSpPr>
      <xdr:spPr>
        <a:xfrm>
          <a:off x="4032250" y="6339417"/>
          <a:ext cx="2899833" cy="391583"/>
        </a:xfrm>
        <a:prstGeom prst="straightConnector1">
          <a:avLst/>
        </a:prstGeom>
        <a:ln w="317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179916</xdr:colOff>
      <xdr:row>23</xdr:row>
      <xdr:rowOff>254000</xdr:rowOff>
    </xdr:from>
    <xdr:to>
      <xdr:col>9</xdr:col>
      <xdr:colOff>359833</xdr:colOff>
      <xdr:row>25</xdr:row>
      <xdr:rowOff>137583</xdr:rowOff>
    </xdr:to>
    <xdr:cxnSp macro="">
      <xdr:nvCxnSpPr>
        <xdr:cNvPr id="8" name="Прямая со стрелкой 7"/>
        <xdr:cNvCxnSpPr/>
      </xdr:nvCxnSpPr>
      <xdr:spPr>
        <a:xfrm>
          <a:off x="6434666" y="6360583"/>
          <a:ext cx="1883834" cy="370417"/>
        </a:xfrm>
        <a:prstGeom prst="straightConnector1">
          <a:avLst/>
        </a:prstGeom>
        <a:ln w="317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201083</xdr:colOff>
      <xdr:row>23</xdr:row>
      <xdr:rowOff>201084</xdr:rowOff>
    </xdr:from>
    <xdr:to>
      <xdr:col>10</xdr:col>
      <xdr:colOff>275167</xdr:colOff>
      <xdr:row>25</xdr:row>
      <xdr:rowOff>84666</xdr:rowOff>
    </xdr:to>
    <xdr:cxnSp macro="">
      <xdr:nvCxnSpPr>
        <xdr:cNvPr id="10" name="Прямая со стрелкой 9"/>
        <xdr:cNvCxnSpPr/>
      </xdr:nvCxnSpPr>
      <xdr:spPr>
        <a:xfrm>
          <a:off x="7757583" y="6307667"/>
          <a:ext cx="74084" cy="370416"/>
        </a:xfrm>
        <a:prstGeom prst="straightConnector1">
          <a:avLst/>
        </a:prstGeom>
        <a:ln w="317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465667</xdr:colOff>
      <xdr:row>23</xdr:row>
      <xdr:rowOff>190500</xdr:rowOff>
    </xdr:from>
    <xdr:to>
      <xdr:col>14</xdr:col>
      <xdr:colOff>264585</xdr:colOff>
      <xdr:row>25</xdr:row>
      <xdr:rowOff>74083</xdr:rowOff>
    </xdr:to>
    <xdr:cxnSp macro="">
      <xdr:nvCxnSpPr>
        <xdr:cNvPr id="13" name="Прямая со стрелкой 12"/>
        <xdr:cNvCxnSpPr/>
      </xdr:nvCxnSpPr>
      <xdr:spPr>
        <a:xfrm flipH="1">
          <a:off x="9652000" y="6297083"/>
          <a:ext cx="1640418" cy="370417"/>
        </a:xfrm>
        <a:prstGeom prst="straightConnector1">
          <a:avLst/>
        </a:prstGeom>
        <a:ln w="317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444500</xdr:colOff>
      <xdr:row>26</xdr:row>
      <xdr:rowOff>84667</xdr:rowOff>
    </xdr:from>
    <xdr:to>
      <xdr:col>3</xdr:col>
      <xdr:colOff>560917</xdr:colOff>
      <xdr:row>27</xdr:row>
      <xdr:rowOff>261409</xdr:rowOff>
    </xdr:to>
    <xdr:sp macro="" textlink="">
      <xdr:nvSpPr>
        <xdr:cNvPr id="19" name="Выноска 1 18"/>
        <xdr:cNvSpPr/>
      </xdr:nvSpPr>
      <xdr:spPr>
        <a:xfrm>
          <a:off x="1957917" y="7016750"/>
          <a:ext cx="2698750" cy="515409"/>
        </a:xfrm>
        <a:prstGeom prst="borderCallout1">
          <a:avLst>
            <a:gd name="adj1" fmla="val -6170"/>
            <a:gd name="adj2" fmla="val 44862"/>
            <a:gd name="adj3" fmla="val -1183102"/>
            <a:gd name="adj4" fmla="val 55674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0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20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B3&lt;$D$1;1;0)</a:t>
          </a:r>
          <a:endParaRPr lang="ru-RU" sz="20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455083</xdr:colOff>
      <xdr:row>23</xdr:row>
      <xdr:rowOff>190500</xdr:rowOff>
    </xdr:from>
    <xdr:to>
      <xdr:col>18</xdr:col>
      <xdr:colOff>222251</xdr:colOff>
      <xdr:row>25</xdr:row>
      <xdr:rowOff>84666</xdr:rowOff>
    </xdr:to>
    <xdr:cxnSp macro="">
      <xdr:nvCxnSpPr>
        <xdr:cNvPr id="21" name="Прямая со стрелкой 20"/>
        <xdr:cNvCxnSpPr/>
      </xdr:nvCxnSpPr>
      <xdr:spPr>
        <a:xfrm flipH="1">
          <a:off x="8995833" y="6297083"/>
          <a:ext cx="3100918" cy="381000"/>
        </a:xfrm>
        <a:prstGeom prst="straightConnector1">
          <a:avLst/>
        </a:prstGeom>
        <a:ln w="317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8</xdr:row>
      <xdr:rowOff>95250</xdr:rowOff>
    </xdr:from>
    <xdr:to>
      <xdr:col>10</xdr:col>
      <xdr:colOff>371475</xdr:colOff>
      <xdr:row>19</xdr:row>
      <xdr:rowOff>9525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171450</xdr:colOff>
      <xdr:row>2</xdr:row>
      <xdr:rowOff>161925</xdr:rowOff>
    </xdr:from>
    <xdr:to>
      <xdr:col>10</xdr:col>
      <xdr:colOff>57150</xdr:colOff>
      <xdr:row>4</xdr:row>
      <xdr:rowOff>38100</xdr:rowOff>
    </xdr:to>
    <xdr:sp macro="" textlink="">
      <xdr:nvSpPr>
        <xdr:cNvPr id="3" name="Скругленная прямоугольная выноска 2"/>
        <xdr:cNvSpPr/>
      </xdr:nvSpPr>
      <xdr:spPr>
        <a:xfrm>
          <a:off x="4219575" y="1371600"/>
          <a:ext cx="4752975" cy="390525"/>
        </a:xfrm>
        <a:prstGeom prst="wedgeRoundRectCallout">
          <a:avLst>
            <a:gd name="adj1" fmla="val -69446"/>
            <a:gd name="adj2" fmla="val -128394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=ПУАССОН.РАСП(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A2;$F$1;0)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228600</xdr:colOff>
      <xdr:row>5</xdr:row>
      <xdr:rowOff>200025</xdr:rowOff>
    </xdr:from>
    <xdr:to>
      <xdr:col>8</xdr:col>
      <xdr:colOff>419100</xdr:colOff>
      <xdr:row>7</xdr:row>
      <xdr:rowOff>76200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3733800" y="2181225"/>
          <a:ext cx="4448175" cy="390525"/>
        </a:xfrm>
        <a:prstGeom prst="wedgeRoundRectCallout">
          <a:avLst>
            <a:gd name="adj1" fmla="val -85550"/>
            <a:gd name="adj2" fmla="val -338150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=ПУАССОН.РАСП(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A2;$F$1;1)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209551</xdr:colOff>
      <xdr:row>0</xdr:row>
      <xdr:rowOff>19050</xdr:rowOff>
    </xdr:from>
    <xdr:to>
      <xdr:col>10</xdr:col>
      <xdr:colOff>38100</xdr:colOff>
      <xdr:row>0</xdr:row>
      <xdr:rowOff>733425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53226" y="19050"/>
          <a:ext cx="2266949" cy="714375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0</xdr:row>
      <xdr:rowOff>742950</xdr:rowOff>
    </xdr:from>
    <xdr:to>
      <xdr:col>11</xdr:col>
      <xdr:colOff>57151</xdr:colOff>
      <xdr:row>1</xdr:row>
      <xdr:rowOff>247650</xdr:rowOff>
    </xdr:to>
    <xdr:sp macro="" textlink="">
      <xdr:nvSpPr>
        <xdr:cNvPr id="7" name="Скругленная прямоугольная выноска 6"/>
        <xdr:cNvSpPr/>
      </xdr:nvSpPr>
      <xdr:spPr>
        <a:xfrm>
          <a:off x="4257675" y="742950"/>
          <a:ext cx="5391151" cy="390525"/>
        </a:xfrm>
        <a:prstGeom prst="wedgeRoundRectCallout">
          <a:avLst>
            <a:gd name="adj1" fmla="val 54492"/>
            <a:gd name="adj2" fmla="val 20387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=($F$1)^A2*EXP(-$F$1)/</a:t>
          </a:r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ФАКТР(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A2)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296334</xdr:colOff>
      <xdr:row>20</xdr:row>
      <xdr:rowOff>126998</xdr:rowOff>
    </xdr:from>
    <xdr:to>
      <xdr:col>10</xdr:col>
      <xdr:colOff>497419</xdr:colOff>
      <xdr:row>22</xdr:row>
      <xdr:rowOff>3173</xdr:rowOff>
    </xdr:to>
    <xdr:sp macro="" textlink="">
      <xdr:nvSpPr>
        <xdr:cNvPr id="11" name="Скругленная прямоугольная выноска 10"/>
        <xdr:cNvSpPr/>
      </xdr:nvSpPr>
      <xdr:spPr>
        <a:xfrm>
          <a:off x="6836834" y="5916081"/>
          <a:ext cx="2656418" cy="384175"/>
        </a:xfrm>
        <a:prstGeom prst="wedgeRoundRectCallout">
          <a:avLst>
            <a:gd name="adj1" fmla="val 102205"/>
            <a:gd name="adj2" fmla="val -1316111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=СУММ($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L$2:L2)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304802</xdr:colOff>
      <xdr:row>0</xdr:row>
      <xdr:rowOff>0</xdr:rowOff>
    </xdr:from>
    <xdr:to>
      <xdr:col>8</xdr:col>
      <xdr:colOff>556684</xdr:colOff>
      <xdr:row>1</xdr:row>
      <xdr:rowOff>153458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1885" y="0"/>
          <a:ext cx="2283882" cy="714375"/>
        </a:xfrm>
        <a:prstGeom prst="rect">
          <a:avLst/>
        </a:prstGeom>
      </xdr:spPr>
    </xdr:pic>
    <xdr:clientData/>
  </xdr:twoCellAnchor>
  <xdr:twoCellAnchor>
    <xdr:from>
      <xdr:col>9</xdr:col>
      <xdr:colOff>529166</xdr:colOff>
      <xdr:row>0</xdr:row>
      <xdr:rowOff>52917</xdr:rowOff>
    </xdr:from>
    <xdr:to>
      <xdr:col>14</xdr:col>
      <xdr:colOff>688975</xdr:colOff>
      <xdr:row>1</xdr:row>
      <xdr:rowOff>222250</xdr:rowOff>
    </xdr:to>
    <xdr:pic>
      <xdr:nvPicPr>
        <xdr:cNvPr id="8" name="Рисунок 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1583" y="52917"/>
          <a:ext cx="3017309" cy="73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11905</xdr:colOff>
      <xdr:row>25</xdr:row>
      <xdr:rowOff>23813</xdr:rowOff>
    </xdr:from>
    <xdr:to>
      <xdr:col>1</xdr:col>
      <xdr:colOff>1119186</xdr:colOff>
      <xdr:row>26</xdr:row>
      <xdr:rowOff>100013</xdr:rowOff>
    </xdr:to>
    <xdr:sp macro="" textlink="">
      <xdr:nvSpPr>
        <xdr:cNvPr id="9" name="Выноска 1 8"/>
        <xdr:cNvSpPr/>
      </xdr:nvSpPr>
      <xdr:spPr>
        <a:xfrm>
          <a:off x="1452561" y="8215313"/>
          <a:ext cx="1107281" cy="409575"/>
        </a:xfrm>
        <a:prstGeom prst="borderCallout1">
          <a:avLst>
            <a:gd name="adj1" fmla="val 19485"/>
            <a:gd name="adj2" fmla="val 81725"/>
            <a:gd name="adj3" fmla="val -1604643"/>
            <a:gd name="adj4" fmla="val 124694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=C4*B5</a:t>
          </a:r>
          <a:endParaRPr lang="ru-RU" sz="20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690563</xdr:colOff>
      <xdr:row>24</xdr:row>
      <xdr:rowOff>166687</xdr:rowOff>
    </xdr:from>
    <xdr:to>
      <xdr:col>0</xdr:col>
      <xdr:colOff>1333499</xdr:colOff>
      <xdr:row>26</xdr:row>
      <xdr:rowOff>40481</xdr:rowOff>
    </xdr:to>
    <xdr:sp macro="" textlink="">
      <xdr:nvSpPr>
        <xdr:cNvPr id="10" name="Выноска 1 9"/>
        <xdr:cNvSpPr/>
      </xdr:nvSpPr>
      <xdr:spPr>
        <a:xfrm>
          <a:off x="690563" y="8155781"/>
          <a:ext cx="642936" cy="409575"/>
        </a:xfrm>
        <a:prstGeom prst="borderCallout1">
          <a:avLst>
            <a:gd name="adj1" fmla="val 19485"/>
            <a:gd name="adj2" fmla="val 81725"/>
            <a:gd name="adj3" fmla="val -1659875"/>
            <a:gd name="adj4" fmla="val 33329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=B4</a:t>
          </a:r>
          <a:endParaRPr lang="ru-RU" sz="20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71438</xdr:colOff>
      <xdr:row>26</xdr:row>
      <xdr:rowOff>59531</xdr:rowOff>
    </xdr:from>
    <xdr:to>
      <xdr:col>6</xdr:col>
      <xdr:colOff>369094</xdr:colOff>
      <xdr:row>28</xdr:row>
      <xdr:rowOff>88106</xdr:rowOff>
    </xdr:to>
    <xdr:sp macro="" textlink="">
      <xdr:nvSpPr>
        <xdr:cNvPr id="11" name="Выноска 1 10"/>
        <xdr:cNvSpPr/>
      </xdr:nvSpPr>
      <xdr:spPr>
        <a:xfrm>
          <a:off x="2809876" y="8584406"/>
          <a:ext cx="5250656" cy="409575"/>
        </a:xfrm>
        <a:prstGeom prst="borderCallout1">
          <a:avLst>
            <a:gd name="adj1" fmla="val -3771"/>
            <a:gd name="adj2" fmla="val 37734"/>
            <a:gd name="adj3" fmla="val -1770341"/>
            <a:gd name="adj4" fmla="val 28095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0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=ЕСЛИ(</a:t>
          </a:r>
          <a:r>
            <a:rPr lang="en-US" sz="20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C4&gt;$E$1;</a:t>
          </a:r>
          <a:r>
            <a:rPr lang="ru-RU" sz="20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ЕСЛИ(</a:t>
          </a:r>
          <a:r>
            <a:rPr lang="en-US" sz="20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C5&lt;=$E$1;A4;0);0)</a:t>
          </a:r>
          <a:endParaRPr lang="ru-RU" sz="20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366183</xdr:colOff>
      <xdr:row>6</xdr:row>
      <xdr:rowOff>115359</xdr:rowOff>
    </xdr:from>
    <xdr:to>
      <xdr:col>6</xdr:col>
      <xdr:colOff>116416</xdr:colOff>
      <xdr:row>7</xdr:row>
      <xdr:rowOff>245534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3858683" y="2475442"/>
          <a:ext cx="2798233" cy="384175"/>
        </a:xfrm>
        <a:prstGeom prst="wedgeRoundRectCallout">
          <a:avLst>
            <a:gd name="adj1" fmla="val -120346"/>
            <a:gd name="adj2" fmla="val -382227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=СУММ($</a:t>
          </a:r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C$2:C2)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354541</xdr:colOff>
      <xdr:row>2</xdr:row>
      <xdr:rowOff>139700</xdr:rowOff>
    </xdr:from>
    <xdr:to>
      <xdr:col>6</xdr:col>
      <xdr:colOff>571500</xdr:colOff>
      <xdr:row>4</xdr:row>
      <xdr:rowOff>25400</xdr:rowOff>
    </xdr:to>
    <xdr:sp macro="" textlink="">
      <xdr:nvSpPr>
        <xdr:cNvPr id="6" name="Скругленная прямоугольная выноска 5"/>
        <xdr:cNvSpPr/>
      </xdr:nvSpPr>
      <xdr:spPr>
        <a:xfrm>
          <a:off x="3847041" y="1483783"/>
          <a:ext cx="3264959" cy="393700"/>
        </a:xfrm>
        <a:prstGeom prst="wedgeRoundRectCallout">
          <a:avLst>
            <a:gd name="adj1" fmla="val -67064"/>
            <a:gd name="adj2" fmla="val -114022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2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=$F$1*(1-$F$1)^(A2-1)</a:t>
          </a:r>
          <a:endParaRPr lang="ru-RU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550334</xdr:colOff>
      <xdr:row>8</xdr:row>
      <xdr:rowOff>137584</xdr:rowOff>
    </xdr:from>
    <xdr:to>
      <xdr:col>7</xdr:col>
      <xdr:colOff>359834</xdr:colOff>
      <xdr:row>20</xdr:row>
      <xdr:rowOff>243417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</xdr:colOff>
          <xdr:row>14</xdr:row>
          <xdr:rowOff>76200</xdr:rowOff>
        </xdr:from>
        <xdr:to>
          <xdr:col>0</xdr:col>
          <xdr:colOff>3095625</xdr:colOff>
          <xdr:row>16</xdr:row>
          <xdr:rowOff>9525</xdr:rowOff>
        </xdr:to>
        <xdr:sp macro="" textlink="">
          <xdr:nvSpPr>
            <xdr:cNvPr id="8195" name="Object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2</xdr:col>
      <xdr:colOff>371476</xdr:colOff>
      <xdr:row>11</xdr:row>
      <xdr:rowOff>171450</xdr:rowOff>
    </xdr:from>
    <xdr:to>
      <xdr:col>7</xdr:col>
      <xdr:colOff>0</xdr:colOff>
      <xdr:row>13</xdr:row>
      <xdr:rowOff>76200</xdr:rowOff>
    </xdr:to>
    <xdr:sp macro="" textlink="">
      <xdr:nvSpPr>
        <xdr:cNvPr id="5" name="Скругленная прямоугольная выноска 4"/>
        <xdr:cNvSpPr/>
      </xdr:nvSpPr>
      <xdr:spPr>
        <a:xfrm>
          <a:off x="5191126" y="4371975"/>
          <a:ext cx="3905249" cy="352425"/>
        </a:xfrm>
        <a:prstGeom prst="wedgeRoundRectCallout">
          <a:avLst>
            <a:gd name="adj1" fmla="val -68812"/>
            <a:gd name="adj2" fmla="val -210473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=ГИПЕРГЕОМ.РАСП(</a:t>
          </a:r>
          <a:r>
            <a:rPr lang="en-US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B4;$B$2;$B$3;$B$1;0)</a:t>
          </a:r>
          <a:endParaRPr lang="ru-RU" sz="18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295275</xdr:colOff>
      <xdr:row>13</xdr:row>
      <xdr:rowOff>200025</xdr:rowOff>
    </xdr:from>
    <xdr:to>
      <xdr:col>7</xdr:col>
      <xdr:colOff>590550</xdr:colOff>
      <xdr:row>23</xdr:row>
      <xdr:rowOff>190499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6" Type="http://schemas.openxmlformats.org/officeDocument/2006/relationships/image" Target="../media/image3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2.w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6" Type="http://schemas.openxmlformats.org/officeDocument/2006/relationships/image" Target="../media/image3.wmf"/><Relationship Id="rId5" Type="http://schemas.openxmlformats.org/officeDocument/2006/relationships/oleObject" Target="../embeddings/oleObject4.bin"/><Relationship Id="rId4" Type="http://schemas.openxmlformats.org/officeDocument/2006/relationships/image" Target="../media/image2.wmf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5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0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zoomScale="90" zoomScaleNormal="90" workbookViewId="0">
      <selection activeCell="M2" sqref="M2"/>
    </sheetView>
  </sheetViews>
  <sheetFormatPr defaultRowHeight="15" x14ac:dyDescent="0.25"/>
  <cols>
    <col min="1" max="1" width="9.140625" style="64"/>
    <col min="2" max="2" width="19.42578125" style="64" bestFit="1" customWidth="1"/>
    <col min="3" max="3" width="12" style="64" bestFit="1" customWidth="1"/>
    <col min="4" max="7" width="9.140625" style="64"/>
    <col min="8" max="8" width="14.5703125" style="64" customWidth="1"/>
    <col min="9" max="12" width="9.140625" style="64"/>
    <col min="13" max="13" width="18.28515625" style="64" customWidth="1"/>
    <col min="14" max="14" width="18.140625" style="64" bestFit="1" customWidth="1"/>
    <col min="15" max="16384" width="9.140625" style="64"/>
  </cols>
  <sheetData>
    <row r="1" spans="1:14" ht="27" x14ac:dyDescent="0.35">
      <c r="A1" s="2" t="s">
        <v>0</v>
      </c>
      <c r="B1" s="2" t="s">
        <v>1</v>
      </c>
      <c r="C1" s="2" t="s">
        <v>2</v>
      </c>
      <c r="E1" s="62" t="s">
        <v>3</v>
      </c>
      <c r="F1" s="65">
        <v>25</v>
      </c>
      <c r="M1" s="53" t="s">
        <v>36</v>
      </c>
      <c r="N1" s="97" t="s">
        <v>47</v>
      </c>
    </row>
    <row r="2" spans="1:14" ht="27" x14ac:dyDescent="0.35">
      <c r="A2" s="2">
        <v>11</v>
      </c>
      <c r="B2" s="2">
        <f>_xlfn.NORM.DIST(A2,$F$1,$F$2,0)</f>
        <v>3.2276123811628609E-20</v>
      </c>
      <c r="C2" s="2">
        <f>_xlfn.NORM.DIST(A2,$F$1,$F$2,1)</f>
        <v>5.1296284709591474E-21</v>
      </c>
      <c r="E2" s="63" t="s">
        <v>9</v>
      </c>
      <c r="F2" s="65">
        <v>1.5</v>
      </c>
      <c r="M2" s="53">
        <f ca="1">$F$1+$F$2*(RAND()+RAND()+RAND()+RAND()+RAND()+RAND()+RAND()+RAND()+RAND()+RAND()+RAND()+RAND()   -6)</f>
        <v>25.640897963500969</v>
      </c>
      <c r="N2" s="97">
        <f ca="1">($M$24-M2)^2</f>
        <v>0.7052626088233328</v>
      </c>
    </row>
    <row r="3" spans="1:14" ht="23.25" x14ac:dyDescent="0.35">
      <c r="A3" s="2">
        <v>12</v>
      </c>
      <c r="B3" s="2">
        <f t="shared" ref="B3:B23" si="0">_xlfn.NORM.DIST(A3,$F$1,$F$2,0)</f>
        <v>1.3021117687947652E-17</v>
      </c>
      <c r="C3" s="2">
        <f t="shared" ref="C3:C23" si="1">_xlfn.NORM.DIST(A3,$F$1,$F$2,1)</f>
        <v>2.2247759785104368E-18</v>
      </c>
      <c r="M3" s="53">
        <f t="shared" ref="M3:M23" ca="1" si="2">$F$1+$F$2*(RAND()+RAND()+RAND()+RAND()+RAND()+RAND()+RAND()+RAND()+RAND()+RAND()+RAND()+RAND()   -6)</f>
        <v>26.076237012593342</v>
      </c>
      <c r="N3" s="97">
        <f t="shared" ref="N3:N23" ca="1" si="3">($M$24-M3)^2</f>
        <v>1.625977421443791</v>
      </c>
    </row>
    <row r="4" spans="1:14" ht="23.25" x14ac:dyDescent="0.35">
      <c r="A4" s="2">
        <v>13</v>
      </c>
      <c r="B4" s="2">
        <f t="shared" si="0"/>
        <v>3.3681807223579286E-15</v>
      </c>
      <c r="C4" s="2">
        <f t="shared" si="1"/>
        <v>6.2209605742717375E-16</v>
      </c>
      <c r="M4" s="53">
        <f t="shared" ca="1" si="2"/>
        <v>25.664020304229247</v>
      </c>
      <c r="N4" s="97">
        <f t="shared" ca="1" si="3"/>
        <v>0.74463349554647951</v>
      </c>
    </row>
    <row r="5" spans="1:14" ht="23.25" x14ac:dyDescent="0.35">
      <c r="A5" s="2">
        <v>14</v>
      </c>
      <c r="B5" s="2">
        <f t="shared" si="0"/>
        <v>5.5862804867931224E-13</v>
      </c>
      <c r="C5" s="2">
        <f t="shared" si="1"/>
        <v>1.1224881271355515E-13</v>
      </c>
      <c r="M5" s="53">
        <f t="shared" ca="1" si="2"/>
        <v>24.636916829794263</v>
      </c>
      <c r="N5" s="97">
        <f t="shared" ca="1" si="3"/>
        <v>2.6955724461523917E-2</v>
      </c>
    </row>
    <row r="6" spans="1:14" ht="23.25" x14ac:dyDescent="0.35">
      <c r="A6" s="2">
        <v>15</v>
      </c>
      <c r="B6" s="2">
        <f t="shared" si="0"/>
        <v>5.9406001249014352E-11</v>
      </c>
      <c r="C6" s="2">
        <f t="shared" si="1"/>
        <v>1.3083924686052984E-11</v>
      </c>
      <c r="M6" s="53">
        <f t="shared" ca="1" si="2"/>
        <v>23.281138730148989</v>
      </c>
      <c r="N6" s="97">
        <f t="shared" ca="1" si="3"/>
        <v>2.3102786613495132</v>
      </c>
    </row>
    <row r="7" spans="1:14" ht="23.25" x14ac:dyDescent="0.35">
      <c r="A7" s="2">
        <v>16</v>
      </c>
      <c r="B7" s="2">
        <f t="shared" si="0"/>
        <v>4.0505885665488571E-9</v>
      </c>
      <c r="C7" s="2">
        <f t="shared" si="1"/>
        <v>9.8658764503769437E-10</v>
      </c>
      <c r="M7" s="53">
        <f t="shared" ca="1" si="2"/>
        <v>25.809729989449675</v>
      </c>
      <c r="N7" s="97">
        <f t="shared" ca="1" si="3"/>
        <v>1.0173368448711495</v>
      </c>
    </row>
    <row r="8" spans="1:14" ht="23.25" x14ac:dyDescent="0.35">
      <c r="A8" s="2">
        <v>17</v>
      </c>
      <c r="B8" s="2">
        <f t="shared" si="0"/>
        <v>1.7708679390146084E-7</v>
      </c>
      <c r="C8" s="2">
        <f t="shared" si="1"/>
        <v>4.8213033651141262E-8</v>
      </c>
      <c r="M8" s="53">
        <f t="shared" ca="1" si="2"/>
        <v>26.05348078975301</v>
      </c>
      <c r="N8" s="97">
        <f t="shared" ca="1" si="3"/>
        <v>1.5684606091955295</v>
      </c>
    </row>
    <row r="9" spans="1:14" ht="23.25" x14ac:dyDescent="0.35">
      <c r="A9" s="2">
        <v>18</v>
      </c>
      <c r="B9" s="2">
        <f t="shared" si="0"/>
        <v>4.9640305804199935E-6</v>
      </c>
      <c r="C9" s="2">
        <f t="shared" si="1"/>
        <v>1.530626736531063E-6</v>
      </c>
      <c r="M9" s="53">
        <f t="shared" ca="1" si="2"/>
        <v>25.825504622762608</v>
      </c>
      <c r="N9" s="97">
        <f t="shared" ca="1" si="3"/>
        <v>1.0494072577584039</v>
      </c>
    </row>
    <row r="10" spans="1:14" ht="23.25" x14ac:dyDescent="0.35">
      <c r="A10" s="2">
        <v>19</v>
      </c>
      <c r="B10" s="2">
        <f t="shared" si="0"/>
        <v>8.9220150509923578E-5</v>
      </c>
      <c r="C10" s="2">
        <f t="shared" si="1"/>
        <v>3.1671241833119857E-5</v>
      </c>
      <c r="M10" s="53">
        <f t="shared" ca="1" si="2"/>
        <v>24.533175379081761</v>
      </c>
      <c r="N10" s="97">
        <f t="shared" ca="1" si="3"/>
        <v>7.1782967833145722E-2</v>
      </c>
    </row>
    <row r="11" spans="1:14" ht="23.25" x14ac:dyDescent="0.35">
      <c r="A11" s="2">
        <v>20</v>
      </c>
      <c r="B11" s="2">
        <f t="shared" si="0"/>
        <v>1.0281859975274036E-3</v>
      </c>
      <c r="C11" s="2">
        <f t="shared" si="1"/>
        <v>4.2906033319683703E-4</v>
      </c>
      <c r="M11" s="53">
        <f t="shared" ca="1" si="2"/>
        <v>23.098743996907384</v>
      </c>
      <c r="N11" s="97">
        <f t="shared" ca="1" si="3"/>
        <v>2.8980119287094692</v>
      </c>
    </row>
    <row r="12" spans="1:14" ht="23.25" x14ac:dyDescent="0.35">
      <c r="A12" s="2">
        <v>21</v>
      </c>
      <c r="B12" s="2">
        <f t="shared" si="0"/>
        <v>7.597324015864962E-3</v>
      </c>
      <c r="C12" s="2">
        <f t="shared" si="1"/>
        <v>3.8303805675897356E-3</v>
      </c>
      <c r="M12" s="53">
        <f t="shared" ca="1" si="2"/>
        <v>26.129571601481945</v>
      </c>
      <c r="N12" s="97">
        <f t="shared" ca="1" si="3"/>
        <v>1.7648399428418136</v>
      </c>
    </row>
    <row r="13" spans="1:14" ht="23.25" x14ac:dyDescent="0.35">
      <c r="A13" s="2">
        <v>22</v>
      </c>
      <c r="B13" s="2">
        <f t="shared" si="0"/>
        <v>3.5993977675458706E-2</v>
      </c>
      <c r="C13" s="2">
        <f t="shared" si="1"/>
        <v>2.2750131948179191E-2</v>
      </c>
      <c r="M13" s="53">
        <f t="shared" ca="1" si="2"/>
        <v>25.646926301445852</v>
      </c>
      <c r="N13" s="97">
        <f t="shared" ca="1" si="3"/>
        <v>0.71542413582051312</v>
      </c>
    </row>
    <row r="14" spans="1:14" ht="23.25" x14ac:dyDescent="0.35">
      <c r="A14" s="2">
        <v>23</v>
      </c>
      <c r="B14" s="2">
        <f t="shared" si="0"/>
        <v>0.10934004978399575</v>
      </c>
      <c r="C14" s="2">
        <f t="shared" si="1"/>
        <v>9.1211219725867876E-2</v>
      </c>
      <c r="M14" s="53">
        <f t="shared" ca="1" si="2"/>
        <v>24.035254047029653</v>
      </c>
      <c r="N14" s="97">
        <f t="shared" ca="1" si="3"/>
        <v>0.58651820953914513</v>
      </c>
    </row>
    <row r="15" spans="1:14" ht="23.25" x14ac:dyDescent="0.35">
      <c r="A15" s="2">
        <v>24</v>
      </c>
      <c r="B15" s="2">
        <f t="shared" si="0"/>
        <v>0.21296533701490147</v>
      </c>
      <c r="C15" s="2">
        <f t="shared" si="1"/>
        <v>0.25249253754692291</v>
      </c>
      <c r="M15" s="53">
        <f t="shared" ca="1" si="2"/>
        <v>26.401897158788454</v>
      </c>
      <c r="N15" s="97">
        <f t="shared" ca="1" si="3"/>
        <v>2.562555335570416</v>
      </c>
    </row>
    <row r="16" spans="1:14" ht="23.25" x14ac:dyDescent="0.35">
      <c r="A16" s="2">
        <v>25</v>
      </c>
      <c r="B16" s="2">
        <f t="shared" si="0"/>
        <v>0.26596152026762176</v>
      </c>
      <c r="C16" s="2">
        <f t="shared" si="1"/>
        <v>0.5</v>
      </c>
      <c r="M16" s="53">
        <f t="shared" ca="1" si="2"/>
        <v>22.288397773765496</v>
      </c>
      <c r="N16" s="97">
        <f t="shared" ca="1" si="3"/>
        <v>6.3136665256118478</v>
      </c>
    </row>
    <row r="17" spans="1:14" ht="23.25" x14ac:dyDescent="0.35">
      <c r="A17" s="2">
        <v>26</v>
      </c>
      <c r="B17" s="2">
        <f t="shared" si="0"/>
        <v>0.21296533701490147</v>
      </c>
      <c r="C17" s="2">
        <f t="shared" si="1"/>
        <v>0.74750746245307709</v>
      </c>
      <c r="M17" s="53">
        <f t="shared" ca="1" si="2"/>
        <v>21.503851766326136</v>
      </c>
      <c r="N17" s="97">
        <f t="shared" ca="1" si="3"/>
        <v>10.871838103913245</v>
      </c>
    </row>
    <row r="18" spans="1:14" ht="23.25" x14ac:dyDescent="0.35">
      <c r="A18" s="2">
        <v>27</v>
      </c>
      <c r="B18" s="2">
        <f t="shared" si="0"/>
        <v>0.10934004978399575</v>
      </c>
      <c r="C18" s="2">
        <f t="shared" si="1"/>
        <v>0.90878878027413212</v>
      </c>
      <c r="M18" s="53">
        <f t="shared" ca="1" si="2"/>
        <v>23.444113003926816</v>
      </c>
      <c r="N18" s="97">
        <f t="shared" ca="1" si="3"/>
        <v>1.8414104930691775</v>
      </c>
    </row>
    <row r="19" spans="1:14" ht="23.25" x14ac:dyDescent="0.35">
      <c r="A19" s="2">
        <v>28</v>
      </c>
      <c r="B19" s="2">
        <f t="shared" si="0"/>
        <v>3.5993977675458706E-2</v>
      </c>
      <c r="C19" s="2">
        <f t="shared" si="1"/>
        <v>0.97724986805182079</v>
      </c>
      <c r="M19" s="53">
        <f t="shared" ca="1" si="2"/>
        <v>26.466126925859111</v>
      </c>
      <c r="N19" s="97">
        <f t="shared" ca="1" si="3"/>
        <v>2.7723186079691655</v>
      </c>
    </row>
    <row r="20" spans="1:14" ht="23.25" x14ac:dyDescent="0.35">
      <c r="A20" s="2">
        <v>29</v>
      </c>
      <c r="B20" s="2">
        <f t="shared" si="0"/>
        <v>7.597324015864962E-3</v>
      </c>
      <c r="C20" s="2">
        <f t="shared" si="1"/>
        <v>0.99616961943241022</v>
      </c>
      <c r="M20" s="53">
        <f t="shared" ca="1" si="2"/>
        <v>23.716403874919898</v>
      </c>
      <c r="N20" s="97">
        <f t="shared" ca="1" si="3"/>
        <v>1.1765631143264965</v>
      </c>
    </row>
    <row r="21" spans="1:14" ht="23.25" x14ac:dyDescent="0.35">
      <c r="A21" s="2">
        <v>30</v>
      </c>
      <c r="B21" s="2">
        <f t="shared" si="0"/>
        <v>1.0281859975274036E-3</v>
      </c>
      <c r="C21" s="2">
        <f t="shared" si="1"/>
        <v>0.99957093966680322</v>
      </c>
      <c r="M21" s="53">
        <f t="shared" ca="1" si="2"/>
        <v>26.203562864751799</v>
      </c>
      <c r="N21" s="97">
        <f t="shared" ca="1" si="3"/>
        <v>1.9669054091768527</v>
      </c>
    </row>
    <row r="22" spans="1:14" ht="23.25" x14ac:dyDescent="0.35">
      <c r="A22" s="2">
        <v>31</v>
      </c>
      <c r="B22" s="2">
        <f t="shared" si="0"/>
        <v>8.9220150509923578E-5</v>
      </c>
      <c r="C22" s="2">
        <f t="shared" si="1"/>
        <v>0.99996832875816688</v>
      </c>
      <c r="M22" s="53">
        <f t="shared" ca="1" si="2"/>
        <v>25.922453921737848</v>
      </c>
      <c r="N22" s="97">
        <f t="shared" ca="1" si="3"/>
        <v>1.2574372740722928</v>
      </c>
    </row>
    <row r="23" spans="1:14" ht="23.25" x14ac:dyDescent="0.35">
      <c r="A23" s="2">
        <v>32</v>
      </c>
      <c r="B23" s="2">
        <f t="shared" si="0"/>
        <v>4.9640305804199935E-6</v>
      </c>
      <c r="C23" s="2">
        <f t="shared" si="1"/>
        <v>0.99999846937326342</v>
      </c>
      <c r="M23" s="53">
        <f t="shared" ca="1" si="2"/>
        <v>23.24576908483931</v>
      </c>
      <c r="N23" s="97">
        <f t="shared" ca="1" si="3"/>
        <v>2.4190505713730457</v>
      </c>
    </row>
    <row r="24" spans="1:14" ht="25.5" x14ac:dyDescent="0.35">
      <c r="L24" s="95" t="s">
        <v>29</v>
      </c>
      <c r="M24" s="96">
        <f ca="1">AVERAGE(M2:M23)</f>
        <v>24.801098815595154</v>
      </c>
    </row>
    <row r="25" spans="1:14" ht="23.25" x14ac:dyDescent="0.35">
      <c r="M25" s="98" t="s">
        <v>9</v>
      </c>
      <c r="N25" s="97">
        <f ca="1">(AVERAGE(N3:N23))^0.5</f>
        <v>1.4729525359186533</v>
      </c>
    </row>
  </sheetData>
  <sortState ref="G1:G20">
    <sortCondition ref="G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selection activeCell="N25" sqref="N25"/>
    </sheetView>
  </sheetViews>
  <sheetFormatPr defaultRowHeight="20.25" x14ac:dyDescent="0.3"/>
  <cols>
    <col min="1" max="1" width="11.5703125" style="1" bestFit="1" customWidth="1"/>
    <col min="2" max="3" width="13.42578125" style="1" customWidth="1"/>
    <col min="4" max="13" width="9.140625" style="1"/>
    <col min="14" max="14" width="19.140625" style="1" customWidth="1"/>
    <col min="15" max="15" width="13.140625" style="1" customWidth="1"/>
    <col min="16" max="16384" width="9.140625" style="1"/>
  </cols>
  <sheetData>
    <row r="1" spans="1:15" ht="27" x14ac:dyDescent="0.35">
      <c r="A1" s="55" t="s">
        <v>3</v>
      </c>
      <c r="B1" s="56">
        <v>1</v>
      </c>
      <c r="C1" s="55" t="s">
        <v>4</v>
      </c>
      <c r="D1" s="56">
        <v>6</v>
      </c>
    </row>
    <row r="2" spans="1:15" ht="24" x14ac:dyDescent="0.3">
      <c r="A2" s="2" t="s">
        <v>0</v>
      </c>
      <c r="B2" s="2" t="s">
        <v>2</v>
      </c>
      <c r="C2" s="2" t="s">
        <v>1</v>
      </c>
      <c r="N2" s="53" t="s">
        <v>0</v>
      </c>
      <c r="O2" s="52" t="s">
        <v>31</v>
      </c>
    </row>
    <row r="3" spans="1:15" x14ac:dyDescent="0.3">
      <c r="A3" s="2">
        <v>0</v>
      </c>
      <c r="B3" s="3">
        <f t="shared" ref="B3:B15" si="0">IF(A3&lt;=$B$1,0,IF(A3&lt;=$D$1,(A3-$B$1)/($D$1-$B$1),1))</f>
        <v>0</v>
      </c>
      <c r="C3" s="3">
        <f t="shared" ref="C3:C15" si="1">IF(A3&lt;$B$1, 0, IF(A3&lt;=$D$1,(1/($D$1-$B$1)),0))</f>
        <v>0</v>
      </c>
      <c r="N3" s="53">
        <f ca="1">RAND()*($D$1-$B$1)+$B$1</f>
        <v>4.8229647244075657</v>
      </c>
      <c r="O3" s="52">
        <f ca="1">($N$19-N3)^2</f>
        <v>3.3438672485241834</v>
      </c>
    </row>
    <row r="4" spans="1:15" x14ac:dyDescent="0.3">
      <c r="A4" s="2">
        <v>0.5</v>
      </c>
      <c r="B4" s="3">
        <f t="shared" si="0"/>
        <v>0</v>
      </c>
      <c r="C4" s="3">
        <f t="shared" si="1"/>
        <v>0</v>
      </c>
      <c r="N4" s="53">
        <f t="shared" ref="N4:N18" ca="1" si="2">RAND()*($D$1-$B$1)+$B$1</f>
        <v>1.2297879883737508</v>
      </c>
      <c r="O4" s="52">
        <f t="shared" ref="O4:O18" ca="1" si="3">($N$19-N4)^2</f>
        <v>3.1136448961842853</v>
      </c>
    </row>
    <row r="5" spans="1:15" x14ac:dyDescent="0.3">
      <c r="A5" s="2">
        <v>1</v>
      </c>
      <c r="B5" s="3">
        <f t="shared" si="0"/>
        <v>0</v>
      </c>
      <c r="C5" s="3">
        <f t="shared" si="1"/>
        <v>0.2</v>
      </c>
      <c r="N5" s="53">
        <f t="shared" ca="1" si="2"/>
        <v>1.5352589520827817</v>
      </c>
      <c r="O5" s="52">
        <f t="shared" ca="1" si="3"/>
        <v>2.1289184093752116</v>
      </c>
    </row>
    <row r="6" spans="1:15" x14ac:dyDescent="0.3">
      <c r="A6" s="2">
        <v>1.5</v>
      </c>
      <c r="B6" s="3">
        <f t="shared" si="0"/>
        <v>0.1</v>
      </c>
      <c r="C6" s="3">
        <f t="shared" si="1"/>
        <v>0.2</v>
      </c>
      <c r="N6" s="53">
        <f t="shared" ca="1" si="2"/>
        <v>2.5874324998611216</v>
      </c>
      <c r="O6" s="52">
        <f t="shared" ca="1" si="3"/>
        <v>0.16557396605064553</v>
      </c>
    </row>
    <row r="7" spans="1:15" x14ac:dyDescent="0.3">
      <c r="A7" s="2">
        <v>2</v>
      </c>
      <c r="B7" s="3">
        <f t="shared" si="0"/>
        <v>0.2</v>
      </c>
      <c r="C7" s="3">
        <f t="shared" si="1"/>
        <v>0.2</v>
      </c>
      <c r="N7" s="53">
        <f t="shared" ca="1" si="2"/>
        <v>4.0276732985260999</v>
      </c>
      <c r="O7" s="52">
        <f t="shared" ca="1" si="3"/>
        <v>1.0677770649258174</v>
      </c>
    </row>
    <row r="8" spans="1:15" x14ac:dyDescent="0.3">
      <c r="A8" s="2">
        <v>2.5</v>
      </c>
      <c r="B8" s="3">
        <f t="shared" si="0"/>
        <v>0.3</v>
      </c>
      <c r="C8" s="3">
        <f t="shared" si="1"/>
        <v>0.2</v>
      </c>
      <c r="N8" s="53">
        <f t="shared" ca="1" si="2"/>
        <v>3.2760009055123147</v>
      </c>
      <c r="O8" s="52">
        <f t="shared" ca="1" si="3"/>
        <v>7.9332690996081701E-2</v>
      </c>
    </row>
    <row r="9" spans="1:15" x14ac:dyDescent="0.3">
      <c r="A9" s="2">
        <v>3</v>
      </c>
      <c r="B9" s="3">
        <f t="shared" si="0"/>
        <v>0.4</v>
      </c>
      <c r="C9" s="3">
        <f t="shared" si="1"/>
        <v>0.2</v>
      </c>
      <c r="N9" s="53">
        <f t="shared" ca="1" si="2"/>
        <v>4.0827746312430726</v>
      </c>
      <c r="O9" s="52">
        <f t="shared" ca="1" si="3"/>
        <v>1.1846892713960491</v>
      </c>
    </row>
    <row r="10" spans="1:15" x14ac:dyDescent="0.3">
      <c r="A10" s="2">
        <v>3.5</v>
      </c>
      <c r="B10" s="3">
        <f t="shared" si="0"/>
        <v>0.5</v>
      </c>
      <c r="C10" s="3">
        <f t="shared" si="1"/>
        <v>0.2</v>
      </c>
      <c r="N10" s="53">
        <f t="shared" ca="1" si="2"/>
        <v>1.648931057281672</v>
      </c>
      <c r="O10" s="52">
        <f t="shared" ca="1" si="3"/>
        <v>1.8101260576261957</v>
      </c>
    </row>
    <row r="11" spans="1:15" x14ac:dyDescent="0.3">
      <c r="A11" s="2">
        <v>4</v>
      </c>
      <c r="B11" s="3">
        <f t="shared" si="0"/>
        <v>0.6</v>
      </c>
      <c r="C11" s="3">
        <f t="shared" si="1"/>
        <v>0.2</v>
      </c>
      <c r="N11" s="53">
        <f t="shared" ca="1" si="2"/>
        <v>2.4773158281201102</v>
      </c>
      <c r="O11" s="52">
        <f t="shared" ca="1" si="3"/>
        <v>0.26731431498848701</v>
      </c>
    </row>
    <row r="12" spans="1:15" x14ac:dyDescent="0.3">
      <c r="A12" s="2">
        <v>4.5</v>
      </c>
      <c r="B12" s="3">
        <f t="shared" si="0"/>
        <v>0.7</v>
      </c>
      <c r="C12" s="3">
        <f t="shared" si="1"/>
        <v>0.2</v>
      </c>
      <c r="N12" s="53">
        <f t="shared" ca="1" si="2"/>
        <v>3.2114128070276924</v>
      </c>
      <c r="O12" s="52">
        <f t="shared" ca="1" si="3"/>
        <v>4.7120468913222593E-2</v>
      </c>
    </row>
    <row r="13" spans="1:15" x14ac:dyDescent="0.3">
      <c r="A13" s="2">
        <v>5</v>
      </c>
      <c r="B13" s="3">
        <f t="shared" si="0"/>
        <v>0.8</v>
      </c>
      <c r="C13" s="3">
        <f t="shared" si="1"/>
        <v>0.2</v>
      </c>
      <c r="N13" s="53">
        <f t="shared" ca="1" si="2"/>
        <v>1.0484738474791153</v>
      </c>
      <c r="O13" s="52">
        <f t="shared" ca="1" si="3"/>
        <v>3.7863962904351887</v>
      </c>
    </row>
    <row r="14" spans="1:15" x14ac:dyDescent="0.3">
      <c r="A14" s="2">
        <v>5.5</v>
      </c>
      <c r="B14" s="3">
        <f t="shared" si="0"/>
        <v>0.9</v>
      </c>
      <c r="C14" s="3">
        <f t="shared" si="1"/>
        <v>0.2</v>
      </c>
      <c r="N14" s="53">
        <f t="shared" ca="1" si="2"/>
        <v>2.7785108516935355</v>
      </c>
      <c r="O14" s="52">
        <f t="shared" ca="1" si="3"/>
        <v>4.6582355125175529E-2</v>
      </c>
    </row>
    <row r="15" spans="1:15" x14ac:dyDescent="0.3">
      <c r="A15" s="2">
        <v>6</v>
      </c>
      <c r="B15" s="3">
        <f t="shared" si="0"/>
        <v>1</v>
      </c>
      <c r="C15" s="3">
        <f t="shared" si="1"/>
        <v>0.2</v>
      </c>
      <c r="N15" s="53">
        <f t="shared" ca="1" si="2"/>
        <v>3.1399420969979088</v>
      </c>
      <c r="O15" s="52">
        <f t="shared" ca="1" si="3"/>
        <v>2.1199880341692852E-2</v>
      </c>
    </row>
    <row r="16" spans="1:15" x14ac:dyDescent="0.3">
      <c r="A16" s="2">
        <v>6.5</v>
      </c>
      <c r="B16" s="3">
        <f t="shared" ref="B16:B18" si="4">IF(A16&lt;=$B$1,0,IF(A16&lt;=$D$1,(A16-$B$1)/($D$1-$B$1),1))</f>
        <v>1</v>
      </c>
      <c r="C16" s="3">
        <f t="shared" ref="C16:C18" si="5">IF(A16&lt;$B$1, 0, IF(A16&lt;=$D$1,(1/($D$1-$B$1)),0))</f>
        <v>0</v>
      </c>
      <c r="N16" s="53">
        <f t="shared" ca="1" si="2"/>
        <v>4.3943438602227527</v>
      </c>
      <c r="O16" s="52">
        <f t="shared" ca="1" si="3"/>
        <v>1.9600099402969731</v>
      </c>
    </row>
    <row r="17" spans="1:15" x14ac:dyDescent="0.3">
      <c r="A17" s="2">
        <v>7</v>
      </c>
      <c r="B17" s="3">
        <f t="shared" si="4"/>
        <v>1</v>
      </c>
      <c r="C17" s="3">
        <f t="shared" si="5"/>
        <v>0</v>
      </c>
      <c r="N17" s="53">
        <f t="shared" ca="1" si="2"/>
        <v>3.0693063716292204</v>
      </c>
      <c r="O17" s="52">
        <f t="shared" ca="1" si="3"/>
        <v>5.6199103780254847E-3</v>
      </c>
    </row>
    <row r="18" spans="1:15" x14ac:dyDescent="0.3">
      <c r="A18" s="2">
        <v>7.5</v>
      </c>
      <c r="B18" s="3">
        <f t="shared" si="4"/>
        <v>1</v>
      </c>
      <c r="C18" s="3">
        <f t="shared" si="5"/>
        <v>0</v>
      </c>
      <c r="N18" s="54">
        <f t="shared" ca="1" si="2"/>
        <v>4.579315241480364</v>
      </c>
      <c r="O18" s="52">
        <f t="shared" ca="1" si="3"/>
        <v>2.5121455330370117</v>
      </c>
    </row>
    <row r="19" spans="1:15" ht="25.5" x14ac:dyDescent="0.35">
      <c r="M19" s="49" t="s">
        <v>29</v>
      </c>
      <c r="N19" s="50">
        <f ca="1">AVERAGE(N3:N18)</f>
        <v>2.9943403101211921</v>
      </c>
      <c r="O19" s="48"/>
    </row>
    <row r="20" spans="1:15" ht="25.5" x14ac:dyDescent="0.35">
      <c r="M20" s="48"/>
      <c r="N20" s="51" t="s">
        <v>30</v>
      </c>
      <c r="O20" s="51">
        <f ca="1">AVERAGE(O4:O18)</f>
        <v>1.2130967366713377</v>
      </c>
    </row>
    <row r="25" spans="1:15" x14ac:dyDescent="0.3">
      <c r="N25" s="1">
        <v>0</v>
      </c>
    </row>
  </sheetData>
  <sortState ref="N4:N15">
    <sortCondition ref="N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0"/>
  <sheetViews>
    <sheetView workbookViewId="0">
      <selection activeCell="C2" sqref="C2"/>
    </sheetView>
  </sheetViews>
  <sheetFormatPr defaultRowHeight="37.5" customHeight="1" x14ac:dyDescent="0.25"/>
  <cols>
    <col min="1" max="1" width="9.140625" style="4"/>
    <col min="2" max="2" width="19.42578125" style="4" bestFit="1" customWidth="1"/>
    <col min="3" max="3" width="15.140625" style="4" bestFit="1" customWidth="1"/>
    <col min="4" max="4" width="15.42578125" style="4" bestFit="1" customWidth="1"/>
    <col min="5" max="5" width="15.140625" style="4" customWidth="1"/>
    <col min="6" max="9" width="9.140625" style="4"/>
    <col min="10" max="10" width="19.42578125" style="4" bestFit="1" customWidth="1"/>
    <col min="11" max="11" width="18.85546875" style="4" bestFit="1" customWidth="1"/>
    <col min="12" max="16384" width="9.140625" style="4"/>
  </cols>
  <sheetData>
    <row r="1" spans="1:11" ht="30" customHeight="1" x14ac:dyDescent="0.25">
      <c r="A1" s="7" t="s">
        <v>5</v>
      </c>
      <c r="B1" s="8" t="s">
        <v>6</v>
      </c>
      <c r="C1" s="7" t="s">
        <v>2</v>
      </c>
      <c r="D1" s="5" t="s">
        <v>8</v>
      </c>
      <c r="E1" s="4">
        <v>2</v>
      </c>
      <c r="J1" s="8" t="s">
        <v>6</v>
      </c>
      <c r="K1" s="7" t="s">
        <v>2</v>
      </c>
    </row>
    <row r="2" spans="1:11" ht="21.75" customHeight="1" x14ac:dyDescent="0.25">
      <c r="A2" s="7">
        <v>0</v>
      </c>
      <c r="B2" s="7">
        <f>$E$2*EXP(-$E$2*A2)</f>
        <v>0.5</v>
      </c>
      <c r="C2" s="7">
        <f>1-EXP(-$E$2*A2)</f>
        <v>0</v>
      </c>
      <c r="D2" s="4" t="s">
        <v>7</v>
      </c>
      <c r="E2" s="6">
        <f>1/E1</f>
        <v>0.5</v>
      </c>
      <c r="J2" s="7">
        <f>E5</f>
        <v>0</v>
      </c>
      <c r="K2" s="7">
        <f t="shared" ref="K2:K20" si="0">_xlfn.EXPON.DIST(A2,$E$2,1)</f>
        <v>0</v>
      </c>
    </row>
    <row r="3" spans="1:11" ht="23.25" customHeight="1" x14ac:dyDescent="0.25">
      <c r="A3" s="7">
        <v>1</v>
      </c>
      <c r="B3" s="7">
        <f t="shared" ref="B3:B20" si="1">$E$2*EXP(-$E$2*A3)</f>
        <v>0.30326532985631671</v>
      </c>
      <c r="C3" s="7">
        <f t="shared" ref="C3:C15" si="2">1-EXP(-$E$2*A3)</f>
        <v>0.39346934028736658</v>
      </c>
      <c r="J3" s="7">
        <f t="shared" ref="J3:J20" si="3">_xlfn.EXPON.DIST(A3,$E$2,0)</f>
        <v>0.30326532985631671</v>
      </c>
      <c r="K3" s="7">
        <f t="shared" si="0"/>
        <v>0.39346934028736658</v>
      </c>
    </row>
    <row r="4" spans="1:11" ht="20.25" x14ac:dyDescent="0.25">
      <c r="A4" s="7">
        <v>2</v>
      </c>
      <c r="B4" s="7">
        <f t="shared" si="1"/>
        <v>0.18393972058572117</v>
      </c>
      <c r="C4" s="7">
        <f t="shared" si="2"/>
        <v>0.63212055882855767</v>
      </c>
      <c r="J4" s="7">
        <f t="shared" si="3"/>
        <v>0.18393972058572117</v>
      </c>
      <c r="K4" s="7">
        <f t="shared" si="0"/>
        <v>0.63212055882855767</v>
      </c>
    </row>
    <row r="5" spans="1:11" ht="20.25" x14ac:dyDescent="0.25">
      <c r="A5" s="7">
        <v>3</v>
      </c>
      <c r="B5" s="7">
        <f t="shared" si="1"/>
        <v>0.11156508007421491</v>
      </c>
      <c r="C5" s="7">
        <f t="shared" si="2"/>
        <v>0.77686983985157021</v>
      </c>
      <c r="J5" s="7">
        <f t="shared" si="3"/>
        <v>0.11156508007421491</v>
      </c>
      <c r="K5" s="7">
        <f t="shared" si="0"/>
        <v>0.77686983985157021</v>
      </c>
    </row>
    <row r="6" spans="1:11" ht="20.25" x14ac:dyDescent="0.25">
      <c r="A6" s="7">
        <v>4</v>
      </c>
      <c r="B6" s="7">
        <f t="shared" si="1"/>
        <v>6.7667641618306351E-2</v>
      </c>
      <c r="C6" s="7">
        <f t="shared" si="2"/>
        <v>0.8646647167633873</v>
      </c>
      <c r="J6" s="7">
        <f t="shared" si="3"/>
        <v>6.7667641618306351E-2</v>
      </c>
      <c r="K6" s="7">
        <f t="shared" si="0"/>
        <v>0.8646647167633873</v>
      </c>
    </row>
    <row r="7" spans="1:11" ht="20.25" x14ac:dyDescent="0.25">
      <c r="A7" s="7">
        <v>5</v>
      </c>
      <c r="B7" s="7">
        <f t="shared" si="1"/>
        <v>4.10424993119494E-2</v>
      </c>
      <c r="C7" s="7">
        <f t="shared" si="2"/>
        <v>0.91791500137610116</v>
      </c>
      <c r="J7" s="7">
        <f t="shared" si="3"/>
        <v>4.10424993119494E-2</v>
      </c>
      <c r="K7" s="7">
        <f t="shared" si="0"/>
        <v>0.91791500137610116</v>
      </c>
    </row>
    <row r="8" spans="1:11" ht="20.25" x14ac:dyDescent="0.25">
      <c r="A8" s="7">
        <v>6</v>
      </c>
      <c r="B8" s="7">
        <f t="shared" si="1"/>
        <v>2.4893534183931972E-2</v>
      </c>
      <c r="C8" s="7">
        <f t="shared" si="2"/>
        <v>0.95021293163213605</v>
      </c>
      <c r="J8" s="7">
        <f t="shared" si="3"/>
        <v>2.4893534183931972E-2</v>
      </c>
      <c r="K8" s="7">
        <f t="shared" si="0"/>
        <v>0.95021293163213605</v>
      </c>
    </row>
    <row r="9" spans="1:11" ht="20.25" x14ac:dyDescent="0.25">
      <c r="A9" s="7">
        <v>7</v>
      </c>
      <c r="B9" s="7">
        <f t="shared" si="1"/>
        <v>1.509869171115925E-2</v>
      </c>
      <c r="C9" s="7">
        <f t="shared" si="2"/>
        <v>0.96980261657768152</v>
      </c>
      <c r="D9"/>
      <c r="J9" s="7">
        <f t="shared" si="3"/>
        <v>1.509869171115925E-2</v>
      </c>
      <c r="K9" s="7">
        <f t="shared" si="0"/>
        <v>0.96980261657768152</v>
      </c>
    </row>
    <row r="10" spans="1:11" ht="20.25" x14ac:dyDescent="0.25">
      <c r="A10" s="7">
        <v>8</v>
      </c>
      <c r="B10" s="7">
        <f t="shared" si="1"/>
        <v>9.1578194443670893E-3</v>
      </c>
      <c r="C10" s="7">
        <f t="shared" si="2"/>
        <v>0.98168436111126578</v>
      </c>
      <c r="J10" s="7">
        <f t="shared" si="3"/>
        <v>9.1578194443670893E-3</v>
      </c>
      <c r="K10" s="7">
        <f t="shared" si="0"/>
        <v>0.98168436111126578</v>
      </c>
    </row>
    <row r="11" spans="1:11" ht="20.25" x14ac:dyDescent="0.25">
      <c r="A11" s="7">
        <v>9</v>
      </c>
      <c r="B11" s="7">
        <f t="shared" si="1"/>
        <v>5.554498269121153E-3</v>
      </c>
      <c r="C11" s="7">
        <f t="shared" si="2"/>
        <v>0.98889100346175773</v>
      </c>
      <c r="J11" s="7">
        <f t="shared" si="3"/>
        <v>5.554498269121153E-3</v>
      </c>
      <c r="K11" s="7">
        <f t="shared" si="0"/>
        <v>0.98889100346175773</v>
      </c>
    </row>
    <row r="12" spans="1:11" ht="20.25" x14ac:dyDescent="0.25">
      <c r="A12" s="7">
        <v>10</v>
      </c>
      <c r="B12" s="7">
        <f t="shared" si="1"/>
        <v>3.3689734995427335E-3</v>
      </c>
      <c r="C12" s="7">
        <f t="shared" si="2"/>
        <v>0.99326205300091452</v>
      </c>
      <c r="J12" s="7">
        <f t="shared" si="3"/>
        <v>3.3689734995427335E-3</v>
      </c>
      <c r="K12" s="7">
        <f t="shared" si="0"/>
        <v>0.99326205300091452</v>
      </c>
    </row>
    <row r="13" spans="1:11" ht="20.25" x14ac:dyDescent="0.25">
      <c r="A13" s="7">
        <v>11</v>
      </c>
      <c r="B13" s="7">
        <f t="shared" si="1"/>
        <v>2.0433857192320333E-3</v>
      </c>
      <c r="C13" s="7">
        <f t="shared" si="2"/>
        <v>0.99591322856153597</v>
      </c>
      <c r="J13" s="7">
        <f t="shared" si="3"/>
        <v>2.0433857192320333E-3</v>
      </c>
      <c r="K13" s="7">
        <f t="shared" si="0"/>
        <v>0.99591322856153597</v>
      </c>
    </row>
    <row r="14" spans="1:11" ht="20.25" x14ac:dyDescent="0.25">
      <c r="A14" s="7">
        <v>12</v>
      </c>
      <c r="B14" s="7">
        <f t="shared" si="1"/>
        <v>1.2393760883331792E-3</v>
      </c>
      <c r="C14" s="7">
        <f t="shared" si="2"/>
        <v>0.99752124782333362</v>
      </c>
      <c r="J14" s="7">
        <f t="shared" si="3"/>
        <v>1.2393760883331792E-3</v>
      </c>
      <c r="K14" s="7">
        <f t="shared" si="0"/>
        <v>0.99752124782333362</v>
      </c>
    </row>
    <row r="15" spans="1:11" ht="20.25" x14ac:dyDescent="0.25">
      <c r="A15" s="7">
        <v>13</v>
      </c>
      <c r="B15" s="7">
        <f t="shared" si="1"/>
        <v>7.5171959648878618E-4</v>
      </c>
      <c r="C15" s="7">
        <f t="shared" si="2"/>
        <v>0.99849656080702243</v>
      </c>
      <c r="J15" s="7">
        <f t="shared" si="3"/>
        <v>7.5171959648878618E-4</v>
      </c>
      <c r="K15" s="7">
        <f t="shared" si="0"/>
        <v>0.99849656080702243</v>
      </c>
    </row>
    <row r="16" spans="1:11" ht="20.25" x14ac:dyDescent="0.25">
      <c r="A16" s="7">
        <v>14</v>
      </c>
      <c r="B16" s="7">
        <f t="shared" si="1"/>
        <v>4.5594098277725812E-4</v>
      </c>
      <c r="C16" s="7">
        <f t="shared" ref="C16:C20" si="4">1-EXP(-$E$2*A16)</f>
        <v>0.99908811803444553</v>
      </c>
      <c r="J16" s="7">
        <f t="shared" si="3"/>
        <v>4.5594098277725812E-4</v>
      </c>
      <c r="K16" s="7">
        <f t="shared" si="0"/>
        <v>0.99908811803444553</v>
      </c>
    </row>
    <row r="17" spans="1:11" ht="20.25" x14ac:dyDescent="0.25">
      <c r="A17" s="7">
        <v>15</v>
      </c>
      <c r="B17" s="7">
        <f t="shared" si="1"/>
        <v>2.7654218507391681E-4</v>
      </c>
      <c r="C17" s="7">
        <f t="shared" si="4"/>
        <v>0.99944691562985222</v>
      </c>
      <c r="J17" s="7">
        <f t="shared" si="3"/>
        <v>2.7654218507391681E-4</v>
      </c>
      <c r="K17" s="7">
        <f t="shared" si="0"/>
        <v>0.99944691562985222</v>
      </c>
    </row>
    <row r="18" spans="1:11" ht="20.25" x14ac:dyDescent="0.25">
      <c r="A18" s="7">
        <v>16</v>
      </c>
      <c r="B18" s="7">
        <f t="shared" si="1"/>
        <v>1.6773131395125593E-4</v>
      </c>
      <c r="C18" s="7">
        <f t="shared" si="4"/>
        <v>0.99966453737209748</v>
      </c>
      <c r="J18" s="7">
        <f t="shared" si="3"/>
        <v>1.6773131395125593E-4</v>
      </c>
      <c r="K18" s="7">
        <f t="shared" si="0"/>
        <v>0.99966453737209748</v>
      </c>
    </row>
    <row r="19" spans="1:11" ht="20.25" x14ac:dyDescent="0.25">
      <c r="A19" s="7">
        <v>17</v>
      </c>
      <c r="B19" s="7">
        <f t="shared" si="1"/>
        <v>1.0173418450532208E-4</v>
      </c>
      <c r="C19" s="7">
        <f t="shared" si="4"/>
        <v>0.99979653163098936</v>
      </c>
      <c r="J19" s="7">
        <f t="shared" si="3"/>
        <v>1.0173418450532208E-4</v>
      </c>
      <c r="K19" s="7">
        <f t="shared" si="0"/>
        <v>0.99979653163098936</v>
      </c>
    </row>
    <row r="20" spans="1:11" ht="20.25" x14ac:dyDescent="0.25">
      <c r="A20" s="7">
        <v>18</v>
      </c>
      <c r="B20" s="7">
        <f t="shared" si="1"/>
        <v>6.1704902043339781E-5</v>
      </c>
      <c r="C20" s="7">
        <f t="shared" si="4"/>
        <v>0.99987659019591335</v>
      </c>
      <c r="J20" s="7">
        <f t="shared" si="3"/>
        <v>6.1704902043339781E-5</v>
      </c>
      <c r="K20" s="7">
        <f t="shared" si="0"/>
        <v>0.99987659019591335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3074" r:id="rId3">
          <objectPr defaultSize="0" autoPict="0" r:id="rId4">
            <anchor moveWithCells="1" sizeWithCells="1">
              <from>
                <xdr:col>0</xdr:col>
                <xdr:colOff>57150</xdr:colOff>
                <xdr:row>20</xdr:row>
                <xdr:rowOff>123825</xdr:rowOff>
              </from>
              <to>
                <xdr:col>2</xdr:col>
                <xdr:colOff>990600</xdr:colOff>
                <xdr:row>21</xdr:row>
                <xdr:rowOff>438150</xdr:rowOff>
              </to>
            </anchor>
          </objectPr>
        </oleObject>
      </mc:Choice>
      <mc:Fallback>
        <oleObject progId="Equation.3" shapeId="3074" r:id="rId3"/>
      </mc:Fallback>
    </mc:AlternateContent>
    <mc:AlternateContent xmlns:mc="http://schemas.openxmlformats.org/markup-compatibility/2006">
      <mc:Choice Requires="x14">
        <oleObject progId="Equation.3" shapeId="3075" r:id="rId5">
          <objectPr defaultSize="0" autoPict="0" r:id="rId6">
            <anchor moveWithCells="1" sizeWithCells="1">
              <from>
                <xdr:col>8</xdr:col>
                <xdr:colOff>561975</xdr:colOff>
                <xdr:row>20</xdr:row>
                <xdr:rowOff>114300</xdr:rowOff>
              </from>
              <to>
                <xdr:col>11</xdr:col>
                <xdr:colOff>523875</xdr:colOff>
                <xdr:row>21</xdr:row>
                <xdr:rowOff>400050</xdr:rowOff>
              </to>
            </anchor>
          </objectPr>
        </oleObject>
      </mc:Choice>
      <mc:Fallback>
        <oleObject progId="Equation.3" shapeId="3075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2"/>
  <sheetViews>
    <sheetView workbookViewId="0">
      <selection activeCell="C2" sqref="C2"/>
    </sheetView>
  </sheetViews>
  <sheetFormatPr defaultRowHeight="37.5" customHeight="1" x14ac:dyDescent="0.25"/>
  <cols>
    <col min="1" max="1" width="9.140625" style="4"/>
    <col min="2" max="2" width="19.42578125" style="4" bestFit="1" customWidth="1"/>
    <col min="3" max="3" width="15.140625" style="4" bestFit="1" customWidth="1"/>
    <col min="4" max="4" width="15.140625" style="4" customWidth="1"/>
    <col min="5" max="5" width="22.7109375" style="4" bestFit="1" customWidth="1"/>
    <col min="6" max="6" width="15.140625" style="4" customWidth="1"/>
    <col min="7" max="10" width="9.140625" style="4"/>
    <col min="11" max="11" width="19.42578125" style="4" bestFit="1" customWidth="1"/>
    <col min="12" max="12" width="18.85546875" style="4" bestFit="1" customWidth="1"/>
    <col min="13" max="16384" width="9.140625" style="4"/>
  </cols>
  <sheetData>
    <row r="1" spans="1:12" ht="30" customHeight="1" x14ac:dyDescent="0.25">
      <c r="A1" s="7"/>
      <c r="B1" s="7" t="s">
        <v>32</v>
      </c>
      <c r="C1" s="7" t="s">
        <v>33</v>
      </c>
      <c r="D1" s="7" t="s">
        <v>34</v>
      </c>
      <c r="E1" s="60" t="s">
        <v>35</v>
      </c>
      <c r="F1" s="60">
        <v>2</v>
      </c>
      <c r="K1" s="17"/>
      <c r="L1" s="18"/>
    </row>
    <row r="2" spans="1:12" ht="21.75" customHeight="1" x14ac:dyDescent="0.25">
      <c r="A2" s="7"/>
      <c r="B2" s="7">
        <f t="shared" ref="B2:B20" ca="1" si="0">RAND()</f>
        <v>0.13571462877531026</v>
      </c>
      <c r="C2" s="7">
        <f t="shared" ref="C2:C20" ca="1" si="1">-1/$F$2*LN(B2)</f>
        <v>3.9944018312559662</v>
      </c>
      <c r="D2" s="7">
        <f t="shared" ref="D2:D20" ca="1" si="2">($C$21-C2)^2</f>
        <v>2.1984011814828048</v>
      </c>
      <c r="E2" s="60" t="s">
        <v>7</v>
      </c>
      <c r="F2" s="61">
        <f>1/F1</f>
        <v>0.5</v>
      </c>
      <c r="K2" s="18"/>
      <c r="L2" s="18"/>
    </row>
    <row r="3" spans="1:12" ht="23.25" customHeight="1" x14ac:dyDescent="0.25">
      <c r="A3" s="7"/>
      <c r="B3" s="7">
        <f t="shared" ca="1" si="0"/>
        <v>0.22840574706795147</v>
      </c>
      <c r="C3" s="7">
        <f t="shared" ca="1" si="1"/>
        <v>2.9532632784456778</v>
      </c>
      <c r="D3" s="7">
        <f t="shared" ca="1" si="2"/>
        <v>0.19497707494521549</v>
      </c>
      <c r="K3" s="18"/>
      <c r="L3" s="18"/>
    </row>
    <row r="4" spans="1:12" ht="20.25" x14ac:dyDescent="0.25">
      <c r="A4" s="7"/>
      <c r="B4" s="7">
        <f t="shared" ca="1" si="0"/>
        <v>0.44872278337375893</v>
      </c>
      <c r="C4" s="7">
        <f t="shared" ca="1" si="1"/>
        <v>1.6026999817648313</v>
      </c>
      <c r="D4" s="7">
        <f t="shared" ca="1" si="2"/>
        <v>0.82628320276382028</v>
      </c>
      <c r="K4" s="18"/>
      <c r="L4" s="18"/>
    </row>
    <row r="5" spans="1:12" ht="20.25" x14ac:dyDescent="0.25">
      <c r="A5" s="7"/>
      <c r="B5" s="7">
        <f t="shared" ca="1" si="0"/>
        <v>0.24301634670775629</v>
      </c>
      <c r="C5" s="7">
        <f t="shared" ca="1" si="1"/>
        <v>2.8292531350037029</v>
      </c>
      <c r="D5" s="7">
        <f t="shared" ca="1" si="2"/>
        <v>0.10083923561292242</v>
      </c>
      <c r="K5" s="18"/>
      <c r="L5" s="18"/>
    </row>
    <row r="6" spans="1:12" ht="20.25" x14ac:dyDescent="0.25">
      <c r="A6" s="7"/>
      <c r="B6" s="7">
        <f t="shared" ca="1" si="0"/>
        <v>0.69362652403602931</v>
      </c>
      <c r="C6" s="7">
        <f t="shared" ca="1" si="1"/>
        <v>0.73164322626780398</v>
      </c>
      <c r="D6" s="7">
        <f t="shared" ca="1" si="2"/>
        <v>3.1686063663696356</v>
      </c>
      <c r="K6" s="18"/>
      <c r="L6" s="18"/>
    </row>
    <row r="7" spans="1:12" ht="20.25" x14ac:dyDescent="0.25">
      <c r="A7" s="7"/>
      <c r="B7" s="7">
        <f t="shared" ca="1" si="0"/>
        <v>0.73458899883508766</v>
      </c>
      <c r="C7" s="7">
        <f t="shared" ca="1" si="1"/>
        <v>0.61688824286013821</v>
      </c>
      <c r="D7" s="7">
        <f t="shared" ca="1" si="2"/>
        <v>3.5903161175536207</v>
      </c>
      <c r="K7" s="18"/>
      <c r="L7" s="18"/>
    </row>
    <row r="8" spans="1:12" ht="20.25" x14ac:dyDescent="0.25">
      <c r="A8" s="7"/>
      <c r="B8" s="7">
        <f t="shared" ca="1" si="0"/>
        <v>3.4501097764837008E-2</v>
      </c>
      <c r="C8" s="7">
        <f t="shared" ca="1" si="1"/>
        <v>6.7335282723608145</v>
      </c>
      <c r="D8" s="7">
        <f t="shared" ca="1" si="2"/>
        <v>17.823823884602149</v>
      </c>
      <c r="K8" s="18"/>
      <c r="L8" s="18"/>
    </row>
    <row r="9" spans="1:12" ht="20.25" x14ac:dyDescent="0.25">
      <c r="A9" s="7"/>
      <c r="B9" s="7">
        <f t="shared" ca="1" si="0"/>
        <v>0.38471371385402142</v>
      </c>
      <c r="C9" s="7">
        <f t="shared" ca="1" si="1"/>
        <v>1.9105116433628244</v>
      </c>
      <c r="D9" s="7">
        <f t="shared" ca="1" si="2"/>
        <v>0.36142887508026111</v>
      </c>
      <c r="E9"/>
      <c r="K9" s="18"/>
      <c r="L9" s="18"/>
    </row>
    <row r="10" spans="1:12" ht="20.25" x14ac:dyDescent="0.25">
      <c r="A10" s="7"/>
      <c r="B10" s="7">
        <f t="shared" ca="1" si="0"/>
        <v>0.84257563376049083</v>
      </c>
      <c r="C10" s="7">
        <f t="shared" ca="1" si="1"/>
        <v>0.34258369555098211</v>
      </c>
      <c r="D10" s="7">
        <f t="shared" ca="1" si="2"/>
        <v>4.7050707194977299</v>
      </c>
      <c r="K10" s="18"/>
      <c r="L10" s="18"/>
    </row>
    <row r="11" spans="1:12" ht="20.25" x14ac:dyDescent="0.25">
      <c r="A11" s="7"/>
      <c r="B11" s="7">
        <f t="shared" ca="1" si="0"/>
        <v>6.3007884048485896E-2</v>
      </c>
      <c r="C11" s="7">
        <f t="shared" ca="1" si="1"/>
        <v>5.5289908335873088</v>
      </c>
      <c r="D11" s="7">
        <f t="shared" ca="1" si="2"/>
        <v>9.1040367727497422</v>
      </c>
      <c r="K11" s="18"/>
      <c r="L11" s="18"/>
    </row>
    <row r="12" spans="1:12" ht="20.25" x14ac:dyDescent="0.25">
      <c r="A12" s="7"/>
      <c r="B12" s="7">
        <f t="shared" ca="1" si="0"/>
        <v>0.6131161201876445</v>
      </c>
      <c r="C12" s="7">
        <f t="shared" ca="1" si="1"/>
        <v>0.97840186328353884</v>
      </c>
      <c r="D12" s="7">
        <f t="shared" ca="1" si="2"/>
        <v>2.3510068357518081</v>
      </c>
      <c r="K12" s="18"/>
      <c r="L12" s="18"/>
    </row>
    <row r="13" spans="1:12" ht="20.25" x14ac:dyDescent="0.25">
      <c r="A13" s="7"/>
      <c r="B13" s="7">
        <f t="shared" ca="1" si="0"/>
        <v>0.54588481094392471</v>
      </c>
      <c r="C13" s="7">
        <f t="shared" ca="1" si="1"/>
        <v>1.2106945889229717</v>
      </c>
      <c r="D13" s="7">
        <f t="shared" ca="1" si="2"/>
        <v>1.6926181849066091</v>
      </c>
      <c r="K13" s="18"/>
      <c r="L13" s="18"/>
    </row>
    <row r="14" spans="1:12" ht="20.25" x14ac:dyDescent="0.25">
      <c r="A14" s="7"/>
      <c r="B14" s="7">
        <f t="shared" ca="1" si="0"/>
        <v>0.2211215150280883</v>
      </c>
      <c r="C14" s="7">
        <f t="shared" ca="1" si="1"/>
        <v>3.0180857736318387</v>
      </c>
      <c r="D14" s="7">
        <f t="shared" ca="1" si="2"/>
        <v>0.25642534309121889</v>
      </c>
      <c r="K14" s="18"/>
      <c r="L14" s="18"/>
    </row>
    <row r="15" spans="1:12" ht="20.25" x14ac:dyDescent="0.25">
      <c r="A15" s="7"/>
      <c r="B15" s="7">
        <f t="shared" ca="1" si="0"/>
        <v>0.77900790206278847</v>
      </c>
      <c r="C15" s="7">
        <f t="shared" ca="1" si="1"/>
        <v>0.4994681786163333</v>
      </c>
      <c r="D15" s="7">
        <f t="shared" ca="1" si="2"/>
        <v>4.0490817058066506</v>
      </c>
      <c r="K15" s="18"/>
      <c r="L15" s="18"/>
    </row>
    <row r="16" spans="1:12" ht="20.25" x14ac:dyDescent="0.25">
      <c r="A16" s="7"/>
      <c r="B16" s="7">
        <f t="shared" ca="1" si="0"/>
        <v>0.47879333825065784</v>
      </c>
      <c r="C16" s="7">
        <f t="shared" ca="1" si="1"/>
        <v>1.4729724376462889</v>
      </c>
      <c r="D16" s="7">
        <f t="shared" ca="1" si="2"/>
        <v>1.0789574280406407</v>
      </c>
      <c r="K16" s="18"/>
      <c r="L16" s="18"/>
    </row>
    <row r="17" spans="1:12" ht="20.25" x14ac:dyDescent="0.25">
      <c r="A17" s="7"/>
      <c r="B17" s="7">
        <f t="shared" ca="1" si="0"/>
        <v>0.33332603143666417</v>
      </c>
      <c r="C17" s="7">
        <f t="shared" ca="1" si="1"/>
        <v>2.1972683891961005</v>
      </c>
      <c r="D17" s="7">
        <f t="shared" ca="1" si="2"/>
        <v>9.8867988362853945E-2</v>
      </c>
      <c r="K17" s="18"/>
      <c r="L17" s="18"/>
    </row>
    <row r="18" spans="1:12" ht="20.25" x14ac:dyDescent="0.25">
      <c r="A18" s="7"/>
      <c r="B18" s="7">
        <f t="shared" ca="1" si="0"/>
        <v>0.36651047183139163</v>
      </c>
      <c r="C18" s="7">
        <f t="shared" ca="1" si="1"/>
        <v>2.0074563710718922</v>
      </c>
      <c r="D18" s="7">
        <f t="shared" ca="1" si="2"/>
        <v>0.25426284085003897</v>
      </c>
      <c r="K18" s="18"/>
      <c r="L18" s="18"/>
    </row>
    <row r="19" spans="1:12" ht="20.25" x14ac:dyDescent="0.25">
      <c r="A19" s="7"/>
      <c r="B19" s="7">
        <f t="shared" ca="1" si="0"/>
        <v>0.90124645859174002</v>
      </c>
      <c r="C19" s="7">
        <f t="shared" ca="1" si="1"/>
        <v>0.20795303966241774</v>
      </c>
      <c r="D19" s="7">
        <f t="shared" ca="1" si="2"/>
        <v>5.3072555558736889</v>
      </c>
      <c r="K19" s="18"/>
      <c r="L19" s="18"/>
    </row>
    <row r="20" spans="1:12" ht="20.25" x14ac:dyDescent="0.25">
      <c r="A20" s="7"/>
      <c r="B20" s="7">
        <f t="shared" ca="1" si="0"/>
        <v>1.1759087346603581E-2</v>
      </c>
      <c r="C20" s="7">
        <f t="shared" ca="1" si="1"/>
        <v>8.8862578922090627</v>
      </c>
      <c r="D20" s="7">
        <f t="shared" ca="1" si="2"/>
        <v>40.63497310626407</v>
      </c>
      <c r="K20" s="18"/>
      <c r="L20" s="18"/>
    </row>
    <row r="21" spans="1:12" ht="23.25" x14ac:dyDescent="0.25">
      <c r="B21" s="57" t="s">
        <v>29</v>
      </c>
      <c r="C21" s="57">
        <f ca="1">AVERAGE(C2:C20)</f>
        <v>2.5117011934052891</v>
      </c>
      <c r="D21" s="58"/>
    </row>
    <row r="22" spans="1:12" ht="23.25" x14ac:dyDescent="0.25">
      <c r="C22" s="59" t="s">
        <v>30</v>
      </c>
      <c r="D22" s="57">
        <f ca="1">AVERAGE(D3:D20)</f>
        <v>5.3110461798957038</v>
      </c>
    </row>
  </sheetData>
  <sortState ref="B2:F22">
    <sortCondition ref="B2"/>
  </sortState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41" r:id="rId3">
          <objectPr defaultSize="0" autoPict="0" r:id="rId4">
            <anchor moveWithCells="1" sizeWithCells="1">
              <from>
                <xdr:col>4</xdr:col>
                <xdr:colOff>247650</xdr:colOff>
                <xdr:row>15</xdr:row>
                <xdr:rowOff>238125</xdr:rowOff>
              </from>
              <to>
                <xdr:col>9</xdr:col>
                <xdr:colOff>228600</xdr:colOff>
                <xdr:row>17</xdr:row>
                <xdr:rowOff>238125</xdr:rowOff>
              </to>
            </anchor>
          </objectPr>
        </oleObject>
      </mc:Choice>
      <mc:Fallback>
        <oleObject progId="Equation.3" shapeId="10241" r:id="rId3"/>
      </mc:Fallback>
    </mc:AlternateContent>
    <mc:AlternateContent xmlns:mc="http://schemas.openxmlformats.org/markup-compatibility/2006">
      <mc:Choice Requires="x14">
        <oleObject progId="Equation.3" shapeId="10242" r:id="rId5">
          <objectPr defaultSize="0" autoPict="0" r:id="rId6">
            <anchor moveWithCells="1" sizeWithCells="1">
              <from>
                <xdr:col>4</xdr:col>
                <xdr:colOff>333375</xdr:colOff>
                <xdr:row>18</xdr:row>
                <xdr:rowOff>19050</xdr:rowOff>
              </from>
              <to>
                <xdr:col>7</xdr:col>
                <xdr:colOff>323850</xdr:colOff>
                <xdr:row>19</xdr:row>
                <xdr:rowOff>238125</xdr:rowOff>
              </to>
            </anchor>
          </objectPr>
        </oleObject>
      </mc:Choice>
      <mc:Fallback>
        <oleObject progId="Equation.3" shapeId="10242" r:id="rId5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="90" zoomScaleNormal="90" workbookViewId="0">
      <selection activeCell="G22" sqref="G22"/>
    </sheetView>
  </sheetViews>
  <sheetFormatPr defaultRowHeight="15" x14ac:dyDescent="0.25"/>
  <cols>
    <col min="1" max="1" width="12.7109375" customWidth="1"/>
    <col min="2" max="3" width="19.42578125" bestFit="1" customWidth="1"/>
    <col min="5" max="5" width="27.28515625" bestFit="1" customWidth="1"/>
    <col min="12" max="12" width="17.140625" customWidth="1"/>
  </cols>
  <sheetData>
    <row r="1" spans="1:12" ht="69.75" customHeight="1" x14ac:dyDescent="0.25">
      <c r="A1" s="9" t="s">
        <v>10</v>
      </c>
      <c r="B1" s="8" t="s">
        <v>6</v>
      </c>
      <c r="C1" s="7" t="s">
        <v>2</v>
      </c>
      <c r="E1" s="10" t="s">
        <v>11</v>
      </c>
      <c r="F1" s="11">
        <v>20</v>
      </c>
      <c r="L1" s="7" t="s">
        <v>2</v>
      </c>
    </row>
    <row r="2" spans="1:12" ht="25.5" x14ac:dyDescent="0.35">
      <c r="A2" s="7">
        <v>0</v>
      </c>
      <c r="B2" s="7">
        <f>_xlfn.BINOM.DIST(A2,$F$1,$F$2,0)</f>
        <v>9.5367431640625E-7</v>
      </c>
      <c r="C2" s="7">
        <f>_xlfn.BINOM.DIST(A2,$F$1,$F$2,1)</f>
        <v>9.5367431640625E-7</v>
      </c>
      <c r="E2" s="10" t="s">
        <v>12</v>
      </c>
      <c r="F2" s="12">
        <v>0.5</v>
      </c>
      <c r="L2" s="14">
        <f>SUM($B$2:B2)</f>
        <v>9.5367431640625E-7</v>
      </c>
    </row>
    <row r="3" spans="1:12" ht="20.25" x14ac:dyDescent="0.3">
      <c r="A3" s="7">
        <v>1</v>
      </c>
      <c r="B3" s="7">
        <f t="shared" ref="B3:B22" si="0">_xlfn.BINOM.DIST(A3,$F$1,$F$2,0)</f>
        <v>1.9073486328125034E-5</v>
      </c>
      <c r="C3" s="7">
        <f t="shared" ref="C3:C22" si="1">_xlfn.BINOM.DIST(A3,$F$1,$F$2,1)</f>
        <v>2.002716064453125E-5</v>
      </c>
      <c r="L3" s="14">
        <f>SUM($B$2:B3)</f>
        <v>2.0027160644531284E-5</v>
      </c>
    </row>
    <row r="4" spans="1:12" ht="20.25" x14ac:dyDescent="0.3">
      <c r="A4" s="7">
        <v>2</v>
      </c>
      <c r="B4" s="7">
        <f t="shared" si="0"/>
        <v>1.8119812011718755E-4</v>
      </c>
      <c r="C4" s="7">
        <f t="shared" si="1"/>
        <v>2.0122528076171875E-4</v>
      </c>
      <c r="L4" s="14">
        <f>SUM($B$2:B4)</f>
        <v>2.0122528076171883E-4</v>
      </c>
    </row>
    <row r="5" spans="1:12" ht="20.25" x14ac:dyDescent="0.3">
      <c r="A5" s="7">
        <v>3</v>
      </c>
      <c r="B5" s="7">
        <f t="shared" si="0"/>
        <v>1.0871887207031263E-3</v>
      </c>
      <c r="C5" s="7">
        <f t="shared" si="1"/>
        <v>1.2884140014648442E-3</v>
      </c>
      <c r="L5" s="14">
        <f>SUM($B$2:B5)</f>
        <v>1.2884140014648451E-3</v>
      </c>
    </row>
    <row r="6" spans="1:12" ht="20.25" x14ac:dyDescent="0.3">
      <c r="A6" s="7">
        <v>4</v>
      </c>
      <c r="B6" s="7">
        <f t="shared" si="0"/>
        <v>4.6205520629882752E-3</v>
      </c>
      <c r="C6" s="7">
        <f t="shared" si="1"/>
        <v>5.9089660644531285E-3</v>
      </c>
      <c r="L6" s="14">
        <f>SUM($B$2:B6)</f>
        <v>5.9089660644531198E-3</v>
      </c>
    </row>
    <row r="7" spans="1:12" ht="20.25" x14ac:dyDescent="0.3">
      <c r="A7" s="7">
        <v>5</v>
      </c>
      <c r="B7" s="7">
        <f t="shared" si="0"/>
        <v>1.4785766601562502E-2</v>
      </c>
      <c r="C7" s="7">
        <f t="shared" si="1"/>
        <v>2.0694732666015635E-2</v>
      </c>
      <c r="L7" s="14">
        <f>SUM($B$2:B7)</f>
        <v>2.0694732666015622E-2</v>
      </c>
    </row>
    <row r="8" spans="1:12" ht="20.25" x14ac:dyDescent="0.3">
      <c r="A8" s="7">
        <v>6</v>
      </c>
      <c r="B8" s="7">
        <f t="shared" si="0"/>
        <v>3.6964416503906257E-2</v>
      </c>
      <c r="C8" s="7">
        <f t="shared" si="1"/>
        <v>5.7659149169921903E-2</v>
      </c>
      <c r="L8" s="14">
        <f>SUM($B$2:B8)</f>
        <v>5.7659149169921875E-2</v>
      </c>
    </row>
    <row r="9" spans="1:12" ht="20.25" x14ac:dyDescent="0.3">
      <c r="A9" s="7">
        <v>7</v>
      </c>
      <c r="B9" s="7">
        <f t="shared" si="0"/>
        <v>7.3928833007812458E-2</v>
      </c>
      <c r="C9" s="7">
        <f t="shared" si="1"/>
        <v>0.13158798217773449</v>
      </c>
      <c r="L9" s="14">
        <f>SUM($B$2:B9)</f>
        <v>0.13158798217773432</v>
      </c>
    </row>
    <row r="10" spans="1:12" ht="20.25" x14ac:dyDescent="0.3">
      <c r="A10" s="7">
        <v>8</v>
      </c>
      <c r="B10" s="7">
        <f t="shared" si="0"/>
        <v>0.12013435363769531</v>
      </c>
      <c r="C10" s="7">
        <f t="shared" si="1"/>
        <v>0.25172233581542974</v>
      </c>
      <c r="L10" s="14">
        <f>SUM($B$2:B10)</f>
        <v>0.25172233581542963</v>
      </c>
    </row>
    <row r="11" spans="1:12" ht="20.25" x14ac:dyDescent="0.3">
      <c r="A11" s="7">
        <v>9</v>
      </c>
      <c r="B11" s="7">
        <f t="shared" si="0"/>
        <v>0.16017913818359369</v>
      </c>
      <c r="C11" s="7">
        <f t="shared" si="1"/>
        <v>0.41190147399902349</v>
      </c>
      <c r="L11" s="14">
        <f>SUM($B$2:B11)</f>
        <v>0.41190147399902333</v>
      </c>
    </row>
    <row r="12" spans="1:12" ht="20.25" x14ac:dyDescent="0.3">
      <c r="A12" s="7">
        <v>10</v>
      </c>
      <c r="B12" s="7">
        <f t="shared" si="0"/>
        <v>0.17619705200195307</v>
      </c>
      <c r="C12" s="7">
        <f t="shared" si="1"/>
        <v>0.58809852600097656</v>
      </c>
      <c r="L12" s="14">
        <f>SUM($B$2:B12)</f>
        <v>0.58809852600097634</v>
      </c>
    </row>
    <row r="13" spans="1:12" ht="20.25" x14ac:dyDescent="0.3">
      <c r="A13" s="7">
        <v>11</v>
      </c>
      <c r="B13" s="7">
        <f t="shared" si="0"/>
        <v>0.16017913818359369</v>
      </c>
      <c r="C13" s="7">
        <f t="shared" si="1"/>
        <v>0.74827766418457031</v>
      </c>
      <c r="L13" s="14">
        <f>SUM($B$2:B13)</f>
        <v>0.74827766418457009</v>
      </c>
    </row>
    <row r="14" spans="1:12" ht="20.25" x14ac:dyDescent="0.3">
      <c r="A14" s="7">
        <v>12</v>
      </c>
      <c r="B14" s="7">
        <f t="shared" si="0"/>
        <v>0.12013435363769531</v>
      </c>
      <c r="C14" s="7">
        <f t="shared" si="1"/>
        <v>0.86841201782226551</v>
      </c>
      <c r="L14" s="14">
        <f>SUM($B$2:B14)</f>
        <v>0.8684120178222654</v>
      </c>
    </row>
    <row r="15" spans="1:12" ht="20.25" x14ac:dyDescent="0.3">
      <c r="A15" s="7">
        <v>13</v>
      </c>
      <c r="B15" s="7">
        <f t="shared" si="0"/>
        <v>7.3928833007812472E-2</v>
      </c>
      <c r="C15" s="7">
        <f t="shared" si="1"/>
        <v>0.94234085083007813</v>
      </c>
      <c r="L15" s="14">
        <f>SUM($B$2:B15)</f>
        <v>0.9423408508300779</v>
      </c>
    </row>
    <row r="16" spans="1:12" ht="20.25" x14ac:dyDescent="0.3">
      <c r="A16" s="7">
        <v>14</v>
      </c>
      <c r="B16" s="7">
        <f t="shared" si="0"/>
        <v>3.6964416503906257E-2</v>
      </c>
      <c r="C16" s="7">
        <f t="shared" si="1"/>
        <v>0.97930526733398438</v>
      </c>
      <c r="L16" s="14">
        <f>SUM($B$2:B16)</f>
        <v>0.97930526733398415</v>
      </c>
    </row>
    <row r="17" spans="1:12" ht="20.25" x14ac:dyDescent="0.3">
      <c r="A17" s="7">
        <v>15</v>
      </c>
      <c r="B17" s="7">
        <f t="shared" si="0"/>
        <v>1.4785766601562502E-2</v>
      </c>
      <c r="C17" s="7">
        <f t="shared" si="1"/>
        <v>0.99409103393554688</v>
      </c>
      <c r="L17" s="14">
        <f>SUM($B$2:B17)</f>
        <v>0.99409103393554665</v>
      </c>
    </row>
    <row r="18" spans="1:12" ht="20.25" x14ac:dyDescent="0.3">
      <c r="A18" s="7">
        <v>16</v>
      </c>
      <c r="B18" s="7">
        <f t="shared" si="0"/>
        <v>4.6205520629882752E-3</v>
      </c>
      <c r="C18" s="7">
        <f t="shared" si="1"/>
        <v>0.99871158599853516</v>
      </c>
      <c r="L18" s="14">
        <f>SUM($B$2:B18)</f>
        <v>0.99871158599853493</v>
      </c>
    </row>
    <row r="19" spans="1:12" ht="20.25" x14ac:dyDescent="0.3">
      <c r="A19" s="7">
        <v>17</v>
      </c>
      <c r="B19" s="7">
        <f t="shared" si="0"/>
        <v>1.0871887207031261E-3</v>
      </c>
      <c r="C19" s="7">
        <f t="shared" si="1"/>
        <v>0.99979877471923828</v>
      </c>
      <c r="L19" s="14">
        <f>SUM($B$2:B19)</f>
        <v>0.99979877471923806</v>
      </c>
    </row>
    <row r="20" spans="1:12" ht="20.25" x14ac:dyDescent="0.3">
      <c r="A20" s="7">
        <v>18</v>
      </c>
      <c r="B20" s="7">
        <f t="shared" si="0"/>
        <v>1.8119812011718753E-4</v>
      </c>
      <c r="C20" s="7">
        <f t="shared" si="1"/>
        <v>0.99997997283935547</v>
      </c>
      <c r="L20" s="14">
        <f>SUM($B$2:B20)</f>
        <v>0.99997997283935525</v>
      </c>
    </row>
    <row r="21" spans="1:12" ht="20.25" x14ac:dyDescent="0.3">
      <c r="A21" s="7">
        <v>19</v>
      </c>
      <c r="B21" s="7">
        <f t="shared" si="0"/>
        <v>1.9073486328125E-5</v>
      </c>
      <c r="C21" s="7">
        <f t="shared" si="1"/>
        <v>0.99999904632568359</v>
      </c>
      <c r="L21" s="14">
        <f>SUM($B$2:B21)</f>
        <v>0.99999904632568337</v>
      </c>
    </row>
    <row r="22" spans="1:12" ht="20.25" x14ac:dyDescent="0.3">
      <c r="A22" s="7">
        <v>20</v>
      </c>
      <c r="B22" s="7">
        <f t="shared" si="0"/>
        <v>9.5367431640625E-7</v>
      </c>
      <c r="C22" s="7">
        <f t="shared" si="1"/>
        <v>1</v>
      </c>
      <c r="L22" s="14">
        <f>SUM($B$2:B22)</f>
        <v>0.99999999999999978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zoomScale="90" zoomScaleNormal="90" workbookViewId="0">
      <selection activeCell="P30" sqref="P30"/>
    </sheetView>
  </sheetViews>
  <sheetFormatPr defaultRowHeight="15" x14ac:dyDescent="0.25"/>
  <cols>
    <col min="1" max="1" width="22.7109375" customWidth="1"/>
    <col min="2" max="2" width="19.42578125" bestFit="1" customWidth="1"/>
    <col min="3" max="3" width="19.42578125" customWidth="1"/>
    <col min="5" max="5" width="5.140625" customWidth="1"/>
    <col min="7" max="7" width="4.28515625" bestFit="1" customWidth="1"/>
    <col min="9" max="9" width="5.7109375" customWidth="1"/>
    <col min="11" max="11" width="6.85546875" customWidth="1"/>
    <col min="12" max="12" width="7.85546875" customWidth="1"/>
    <col min="13" max="13" width="8.5703125" customWidth="1"/>
    <col min="15" max="15" width="8.7109375" customWidth="1"/>
  </cols>
  <sheetData>
    <row r="1" spans="1:19" ht="40.5" x14ac:dyDescent="0.25">
      <c r="A1" s="67" t="s">
        <v>41</v>
      </c>
      <c r="B1" s="66">
        <v>20</v>
      </c>
      <c r="C1" s="67" t="s">
        <v>37</v>
      </c>
      <c r="D1" s="66">
        <v>0.5</v>
      </c>
    </row>
    <row r="2" spans="1:19" ht="20.25" x14ac:dyDescent="0.25">
      <c r="A2" s="9" t="s">
        <v>38</v>
      </c>
      <c r="B2" s="7" t="s">
        <v>39</v>
      </c>
      <c r="C2" s="7" t="s">
        <v>36</v>
      </c>
      <c r="E2" s="9" t="s">
        <v>38</v>
      </c>
      <c r="F2" s="7" t="s">
        <v>39</v>
      </c>
      <c r="G2" s="7" t="s">
        <v>36</v>
      </c>
      <c r="I2" s="9" t="s">
        <v>38</v>
      </c>
      <c r="J2" s="7" t="s">
        <v>39</v>
      </c>
      <c r="K2" s="7" t="s">
        <v>36</v>
      </c>
      <c r="M2" s="9" t="s">
        <v>38</v>
      </c>
      <c r="N2" s="7" t="s">
        <v>39</v>
      </c>
      <c r="O2" s="7" t="s">
        <v>36</v>
      </c>
      <c r="Q2" s="9" t="s">
        <v>38</v>
      </c>
      <c r="R2" s="7" t="s">
        <v>39</v>
      </c>
      <c r="S2" s="7" t="s">
        <v>36</v>
      </c>
    </row>
    <row r="3" spans="1:19" ht="20.25" x14ac:dyDescent="0.25">
      <c r="A3" s="7">
        <v>0</v>
      </c>
      <c r="B3" s="7">
        <f ca="1">RAND()</f>
        <v>0.40262081532465122</v>
      </c>
      <c r="C3" s="7">
        <f t="shared" ref="C3:C23" ca="1" si="0">IF(B3&lt;$D$1,1,0)</f>
        <v>1</v>
      </c>
      <c r="E3" s="7">
        <v>0</v>
      </c>
      <c r="F3" s="7">
        <f ca="1">RAND()</f>
        <v>0.80407541092593338</v>
      </c>
      <c r="G3" s="7">
        <f t="shared" ref="G3:G23" ca="1" si="1">IF(F3&lt;$D$1,1,0)</f>
        <v>0</v>
      </c>
      <c r="I3" s="7">
        <v>0</v>
      </c>
      <c r="J3" s="7">
        <f ca="1">RAND()</f>
        <v>0.37559911436621884</v>
      </c>
      <c r="K3" s="7">
        <f t="shared" ref="K3:K23" ca="1" si="2">IF(J3&lt;$D$1,1,0)</f>
        <v>1</v>
      </c>
      <c r="M3" s="7">
        <v>0</v>
      </c>
      <c r="N3" s="7">
        <f ca="1">RAND()</f>
        <v>0.88645361078502993</v>
      </c>
      <c r="O3" s="7">
        <f t="shared" ref="O3:O23" ca="1" si="3">IF(N3&lt;$D$1,1,0)</f>
        <v>0</v>
      </c>
      <c r="Q3" s="7">
        <v>0</v>
      </c>
      <c r="R3" s="7">
        <f ca="1">RAND()</f>
        <v>0.14308644875155629</v>
      </c>
      <c r="S3" s="7">
        <f t="shared" ref="S3:S23" ca="1" si="4">IF(R3&lt;$D$1,1,0)</f>
        <v>1</v>
      </c>
    </row>
    <row r="4" spans="1:19" ht="20.25" x14ac:dyDescent="0.25">
      <c r="A4" s="7">
        <v>1</v>
      </c>
      <c r="B4" s="7">
        <f t="shared" ref="B4:B23" ca="1" si="5">RAND()</f>
        <v>0.40634984017865983</v>
      </c>
      <c r="C4" s="7">
        <f t="shared" ca="1" si="0"/>
        <v>1</v>
      </c>
      <c r="E4" s="7">
        <v>1</v>
      </c>
      <c r="F4" s="7">
        <f t="shared" ref="F4:F23" ca="1" si="6">RAND()</f>
        <v>0.45346035063846146</v>
      </c>
      <c r="G4" s="7">
        <f t="shared" ca="1" si="1"/>
        <v>1</v>
      </c>
      <c r="I4" s="7">
        <v>1</v>
      </c>
      <c r="J4" s="7">
        <f t="shared" ref="J4:J23" ca="1" si="7">RAND()</f>
        <v>0.38250918379334808</v>
      </c>
      <c r="K4" s="7">
        <f t="shared" ca="1" si="2"/>
        <v>1</v>
      </c>
      <c r="M4" s="7">
        <v>1</v>
      </c>
      <c r="N4" s="7">
        <f t="shared" ref="N4:N23" ca="1" si="8">RAND()</f>
        <v>0.55702948527272111</v>
      </c>
      <c r="O4" s="7">
        <f t="shared" ca="1" si="3"/>
        <v>0</v>
      </c>
      <c r="Q4" s="7">
        <v>1</v>
      </c>
      <c r="R4" s="7">
        <f t="shared" ref="R4:R23" ca="1" si="9">RAND()</f>
        <v>0.68676881018490743</v>
      </c>
      <c r="S4" s="7">
        <f t="shared" ca="1" si="4"/>
        <v>0</v>
      </c>
    </row>
    <row r="5" spans="1:19" ht="20.25" x14ac:dyDescent="0.25">
      <c r="A5" s="7">
        <v>2</v>
      </c>
      <c r="B5" s="7">
        <f t="shared" ca="1" si="5"/>
        <v>0.14840229126146576</v>
      </c>
      <c r="C5" s="7">
        <f t="shared" ca="1" si="0"/>
        <v>1</v>
      </c>
      <c r="E5" s="7">
        <v>2</v>
      </c>
      <c r="F5" s="7">
        <f t="shared" ca="1" si="6"/>
        <v>0.36791609616367549</v>
      </c>
      <c r="G5" s="7">
        <f t="shared" ca="1" si="1"/>
        <v>1</v>
      </c>
      <c r="I5" s="7">
        <v>2</v>
      </c>
      <c r="J5" s="7">
        <f t="shared" ca="1" si="7"/>
        <v>0.22043812264459217</v>
      </c>
      <c r="K5" s="7">
        <f t="shared" ca="1" si="2"/>
        <v>1</v>
      </c>
      <c r="M5" s="7">
        <v>2</v>
      </c>
      <c r="N5" s="7">
        <f t="shared" ca="1" si="8"/>
        <v>0.6922604274785652</v>
      </c>
      <c r="O5" s="7">
        <f t="shared" ca="1" si="3"/>
        <v>0</v>
      </c>
      <c r="Q5" s="7">
        <v>2</v>
      </c>
      <c r="R5" s="7">
        <f t="shared" ca="1" si="9"/>
        <v>0.86838307673720405</v>
      </c>
      <c r="S5" s="7">
        <f t="shared" ca="1" si="4"/>
        <v>0</v>
      </c>
    </row>
    <row r="6" spans="1:19" ht="20.25" x14ac:dyDescent="0.25">
      <c r="A6" s="7">
        <v>3</v>
      </c>
      <c r="B6" s="7">
        <f t="shared" ca="1" si="5"/>
        <v>0.87406086048520304</v>
      </c>
      <c r="C6" s="7">
        <f t="shared" ca="1" si="0"/>
        <v>0</v>
      </c>
      <c r="E6" s="7">
        <v>3</v>
      </c>
      <c r="F6" s="7">
        <f t="shared" ca="1" si="6"/>
        <v>0.70078585581690278</v>
      </c>
      <c r="G6" s="7">
        <f t="shared" ca="1" si="1"/>
        <v>0</v>
      </c>
      <c r="I6" s="7">
        <v>3</v>
      </c>
      <c r="J6" s="7">
        <f t="shared" ca="1" si="7"/>
        <v>0.23372664646184393</v>
      </c>
      <c r="K6" s="7">
        <f t="shared" ca="1" si="2"/>
        <v>1</v>
      </c>
      <c r="M6" s="7">
        <v>3</v>
      </c>
      <c r="N6" s="7">
        <f t="shared" ca="1" si="8"/>
        <v>8.5903562629112695E-2</v>
      </c>
      <c r="O6" s="7">
        <f t="shared" ca="1" si="3"/>
        <v>1</v>
      </c>
      <c r="Q6" s="7">
        <v>3</v>
      </c>
      <c r="R6" s="7">
        <f t="shared" ca="1" si="9"/>
        <v>1.0171053539451358E-2</v>
      </c>
      <c r="S6" s="7">
        <f t="shared" ca="1" si="4"/>
        <v>1</v>
      </c>
    </row>
    <row r="7" spans="1:19" ht="20.25" x14ac:dyDescent="0.25">
      <c r="A7" s="7">
        <v>4</v>
      </c>
      <c r="B7" s="7">
        <f t="shared" ca="1" si="5"/>
        <v>0.88606136930859791</v>
      </c>
      <c r="C7" s="7">
        <f t="shared" ca="1" si="0"/>
        <v>0</v>
      </c>
      <c r="E7" s="7">
        <v>4</v>
      </c>
      <c r="F7" s="7">
        <f t="shared" ca="1" si="6"/>
        <v>0.89591367435591995</v>
      </c>
      <c r="G7" s="7">
        <f t="shared" ca="1" si="1"/>
        <v>0</v>
      </c>
      <c r="I7" s="7">
        <v>4</v>
      </c>
      <c r="J7" s="7">
        <f t="shared" ca="1" si="7"/>
        <v>0.78792635318307513</v>
      </c>
      <c r="K7" s="7">
        <f t="shared" ca="1" si="2"/>
        <v>0</v>
      </c>
      <c r="M7" s="7">
        <v>4</v>
      </c>
      <c r="N7" s="7">
        <f t="shared" ca="1" si="8"/>
        <v>0.50282604267517861</v>
      </c>
      <c r="O7" s="7">
        <f t="shared" ca="1" si="3"/>
        <v>0</v>
      </c>
      <c r="Q7" s="7">
        <v>4</v>
      </c>
      <c r="R7" s="7">
        <f t="shared" ca="1" si="9"/>
        <v>6.1476167315685726E-2</v>
      </c>
      <c r="S7" s="7">
        <f t="shared" ca="1" si="4"/>
        <v>1</v>
      </c>
    </row>
    <row r="8" spans="1:19" ht="20.25" x14ac:dyDescent="0.25">
      <c r="A8" s="7">
        <v>5</v>
      </c>
      <c r="B8" s="7">
        <f t="shared" ca="1" si="5"/>
        <v>0.23154747179282276</v>
      </c>
      <c r="C8" s="7">
        <f t="shared" ca="1" si="0"/>
        <v>1</v>
      </c>
      <c r="E8" s="7">
        <v>5</v>
      </c>
      <c r="F8" s="7">
        <f t="shared" ca="1" si="6"/>
        <v>0.27094391091531822</v>
      </c>
      <c r="G8" s="7">
        <f t="shared" ca="1" si="1"/>
        <v>1</v>
      </c>
      <c r="I8" s="7">
        <v>5</v>
      </c>
      <c r="J8" s="7">
        <f t="shared" ca="1" si="7"/>
        <v>0.2854085922237225</v>
      </c>
      <c r="K8" s="7">
        <f t="shared" ca="1" si="2"/>
        <v>1</v>
      </c>
      <c r="M8" s="7">
        <v>5</v>
      </c>
      <c r="N8" s="7">
        <f t="shared" ca="1" si="8"/>
        <v>0.68736285635540006</v>
      </c>
      <c r="O8" s="7">
        <f t="shared" ca="1" si="3"/>
        <v>0</v>
      </c>
      <c r="Q8" s="7">
        <v>5</v>
      </c>
      <c r="R8" s="7">
        <f t="shared" ca="1" si="9"/>
        <v>0.23828609709096182</v>
      </c>
      <c r="S8" s="7">
        <f t="shared" ca="1" si="4"/>
        <v>1</v>
      </c>
    </row>
    <row r="9" spans="1:19" ht="20.25" x14ac:dyDescent="0.25">
      <c r="A9" s="7">
        <v>6</v>
      </c>
      <c r="B9" s="7">
        <f t="shared" ca="1" si="5"/>
        <v>0.75358049925415649</v>
      </c>
      <c r="C9" s="7">
        <f t="shared" ca="1" si="0"/>
        <v>0</v>
      </c>
      <c r="E9" s="7">
        <v>6</v>
      </c>
      <c r="F9" s="7">
        <f t="shared" ca="1" si="6"/>
        <v>0.91244177458454823</v>
      </c>
      <c r="G9" s="7">
        <f t="shared" ca="1" si="1"/>
        <v>0</v>
      </c>
      <c r="I9" s="7">
        <v>6</v>
      </c>
      <c r="J9" s="7">
        <f t="shared" ca="1" si="7"/>
        <v>0.72927172602544321</v>
      </c>
      <c r="K9" s="7">
        <f t="shared" ca="1" si="2"/>
        <v>0</v>
      </c>
      <c r="M9" s="7">
        <v>6</v>
      </c>
      <c r="N9" s="7">
        <f t="shared" ca="1" si="8"/>
        <v>0.29608655482760071</v>
      </c>
      <c r="O9" s="7">
        <f t="shared" ca="1" si="3"/>
        <v>1</v>
      </c>
      <c r="Q9" s="7">
        <v>6</v>
      </c>
      <c r="R9" s="7">
        <f t="shared" ca="1" si="9"/>
        <v>0.88104849087664061</v>
      </c>
      <c r="S9" s="7">
        <f t="shared" ca="1" si="4"/>
        <v>0</v>
      </c>
    </row>
    <row r="10" spans="1:19" ht="20.25" x14ac:dyDescent="0.25">
      <c r="A10" s="7">
        <v>7</v>
      </c>
      <c r="B10" s="7">
        <f t="shared" ca="1" si="5"/>
        <v>0.13465796507881023</v>
      </c>
      <c r="C10" s="7">
        <f t="shared" ca="1" si="0"/>
        <v>1</v>
      </c>
      <c r="E10" s="7">
        <v>7</v>
      </c>
      <c r="F10" s="7">
        <f t="shared" ca="1" si="6"/>
        <v>0.54293069698597585</v>
      </c>
      <c r="G10" s="7">
        <f t="shared" ca="1" si="1"/>
        <v>0</v>
      </c>
      <c r="I10" s="7">
        <v>7</v>
      </c>
      <c r="J10" s="7">
        <f t="shared" ca="1" si="7"/>
        <v>0.52753549101265518</v>
      </c>
      <c r="K10" s="7">
        <f t="shared" ca="1" si="2"/>
        <v>0</v>
      </c>
      <c r="M10" s="7">
        <v>7</v>
      </c>
      <c r="N10" s="7">
        <f t="shared" ca="1" si="8"/>
        <v>0.51564737746351352</v>
      </c>
      <c r="O10" s="7">
        <f t="shared" ca="1" si="3"/>
        <v>0</v>
      </c>
      <c r="Q10" s="7">
        <v>7</v>
      </c>
      <c r="R10" s="7">
        <f t="shared" ca="1" si="9"/>
        <v>0.13177013103853974</v>
      </c>
      <c r="S10" s="7">
        <f t="shared" ca="1" si="4"/>
        <v>1</v>
      </c>
    </row>
    <row r="11" spans="1:19" ht="20.25" x14ac:dyDescent="0.25">
      <c r="A11" s="7">
        <v>8</v>
      </c>
      <c r="B11" s="7">
        <f t="shared" ca="1" si="5"/>
        <v>0.22837111967431623</v>
      </c>
      <c r="C11" s="7">
        <f t="shared" ca="1" si="0"/>
        <v>1</v>
      </c>
      <c r="E11" s="7">
        <v>8</v>
      </c>
      <c r="F11" s="7">
        <f t="shared" ca="1" si="6"/>
        <v>0.6828301233271824</v>
      </c>
      <c r="G11" s="7">
        <f t="shared" ca="1" si="1"/>
        <v>0</v>
      </c>
      <c r="I11" s="7">
        <v>8</v>
      </c>
      <c r="J11" s="7">
        <f t="shared" ca="1" si="7"/>
        <v>0.83803348812445688</v>
      </c>
      <c r="K11" s="7">
        <f t="shared" ca="1" si="2"/>
        <v>0</v>
      </c>
      <c r="M11" s="7">
        <v>8</v>
      </c>
      <c r="N11" s="7">
        <f t="shared" ca="1" si="8"/>
        <v>0.74932826416654741</v>
      </c>
      <c r="O11" s="7">
        <f t="shared" ca="1" si="3"/>
        <v>0</v>
      </c>
      <c r="Q11" s="7">
        <v>8</v>
      </c>
      <c r="R11" s="7">
        <f t="shared" ca="1" si="9"/>
        <v>0.74713114747965192</v>
      </c>
      <c r="S11" s="7">
        <f t="shared" ca="1" si="4"/>
        <v>0</v>
      </c>
    </row>
    <row r="12" spans="1:19" ht="20.25" x14ac:dyDescent="0.25">
      <c r="A12" s="7">
        <v>9</v>
      </c>
      <c r="B12" s="7">
        <f t="shared" ca="1" si="5"/>
        <v>0.48614605179063619</v>
      </c>
      <c r="C12" s="7">
        <f t="shared" ca="1" si="0"/>
        <v>1</v>
      </c>
      <c r="E12" s="7">
        <v>9</v>
      </c>
      <c r="F12" s="7">
        <f t="shared" ca="1" si="6"/>
        <v>0.99049875885747463</v>
      </c>
      <c r="G12" s="7">
        <f t="shared" ca="1" si="1"/>
        <v>0</v>
      </c>
      <c r="I12" s="7">
        <v>9</v>
      </c>
      <c r="J12" s="7">
        <f t="shared" ca="1" si="7"/>
        <v>0.1235635035350664</v>
      </c>
      <c r="K12" s="7">
        <f t="shared" ca="1" si="2"/>
        <v>1</v>
      </c>
      <c r="M12" s="7">
        <v>9</v>
      </c>
      <c r="N12" s="7">
        <f t="shared" ca="1" si="8"/>
        <v>0.72908589619192454</v>
      </c>
      <c r="O12" s="7">
        <f t="shared" ca="1" si="3"/>
        <v>0</v>
      </c>
      <c r="Q12" s="7">
        <v>9</v>
      </c>
      <c r="R12" s="7">
        <f t="shared" ca="1" si="9"/>
        <v>0.81606552706134194</v>
      </c>
      <c r="S12" s="7">
        <f t="shared" ca="1" si="4"/>
        <v>0</v>
      </c>
    </row>
    <row r="13" spans="1:19" ht="20.25" x14ac:dyDescent="0.25">
      <c r="A13" s="7">
        <v>10</v>
      </c>
      <c r="B13" s="7">
        <f t="shared" ca="1" si="5"/>
        <v>0.91573502177877886</v>
      </c>
      <c r="C13" s="7">
        <f t="shared" ca="1" si="0"/>
        <v>0</v>
      </c>
      <c r="E13" s="7">
        <v>10</v>
      </c>
      <c r="F13" s="7">
        <f t="shared" ca="1" si="6"/>
        <v>0.64625436009219084</v>
      </c>
      <c r="G13" s="7">
        <f t="shared" ca="1" si="1"/>
        <v>0</v>
      </c>
      <c r="I13" s="7">
        <v>10</v>
      </c>
      <c r="J13" s="7">
        <f t="shared" ca="1" si="7"/>
        <v>0.49939968765911735</v>
      </c>
      <c r="K13" s="7">
        <f t="shared" ca="1" si="2"/>
        <v>1</v>
      </c>
      <c r="M13" s="7">
        <v>10</v>
      </c>
      <c r="N13" s="7">
        <f t="shared" ca="1" si="8"/>
        <v>0.8600947926856457</v>
      </c>
      <c r="O13" s="7">
        <f t="shared" ca="1" si="3"/>
        <v>0</v>
      </c>
      <c r="Q13" s="7">
        <v>10</v>
      </c>
      <c r="R13" s="7">
        <f t="shared" ca="1" si="9"/>
        <v>0.96912653481864075</v>
      </c>
      <c r="S13" s="7">
        <f t="shared" ca="1" si="4"/>
        <v>0</v>
      </c>
    </row>
    <row r="14" spans="1:19" ht="20.25" x14ac:dyDescent="0.25">
      <c r="A14" s="7">
        <v>11</v>
      </c>
      <c r="B14" s="7">
        <f t="shared" ca="1" si="5"/>
        <v>0.74432859929689033</v>
      </c>
      <c r="C14" s="7">
        <f t="shared" ca="1" si="0"/>
        <v>0</v>
      </c>
      <c r="E14" s="7">
        <v>11</v>
      </c>
      <c r="F14" s="7">
        <f t="shared" ca="1" si="6"/>
        <v>0.46848037867867898</v>
      </c>
      <c r="G14" s="7">
        <f t="shared" ca="1" si="1"/>
        <v>1</v>
      </c>
      <c r="I14" s="7">
        <v>11</v>
      </c>
      <c r="J14" s="7">
        <f t="shared" ca="1" si="7"/>
        <v>2.7848272790386597E-2</v>
      </c>
      <c r="K14" s="7">
        <f t="shared" ca="1" si="2"/>
        <v>1</v>
      </c>
      <c r="M14" s="7">
        <v>11</v>
      </c>
      <c r="N14" s="7">
        <f t="shared" ca="1" si="8"/>
        <v>0.67841235889465323</v>
      </c>
      <c r="O14" s="7">
        <f t="shared" ca="1" si="3"/>
        <v>0</v>
      </c>
      <c r="Q14" s="7">
        <v>11</v>
      </c>
      <c r="R14" s="7">
        <f t="shared" ca="1" si="9"/>
        <v>0.24531572397612333</v>
      </c>
      <c r="S14" s="7">
        <f t="shared" ca="1" si="4"/>
        <v>1</v>
      </c>
    </row>
    <row r="15" spans="1:19" ht="20.25" x14ac:dyDescent="0.25">
      <c r="A15" s="7">
        <v>12</v>
      </c>
      <c r="B15" s="7">
        <f t="shared" ca="1" si="5"/>
        <v>0.81712943746441136</v>
      </c>
      <c r="C15" s="7">
        <f t="shared" ca="1" si="0"/>
        <v>0</v>
      </c>
      <c r="E15" s="7">
        <v>12</v>
      </c>
      <c r="F15" s="7">
        <f t="shared" ca="1" si="6"/>
        <v>0.93160715974752462</v>
      </c>
      <c r="G15" s="7">
        <f t="shared" ca="1" si="1"/>
        <v>0</v>
      </c>
      <c r="I15" s="7">
        <v>12</v>
      </c>
      <c r="J15" s="7">
        <f t="shared" ca="1" si="7"/>
        <v>0.2023243080689846</v>
      </c>
      <c r="K15" s="7">
        <f t="shared" ca="1" si="2"/>
        <v>1</v>
      </c>
      <c r="M15" s="7">
        <v>12</v>
      </c>
      <c r="N15" s="7">
        <f t="shared" ca="1" si="8"/>
        <v>0.28140355062420097</v>
      </c>
      <c r="O15" s="7">
        <f t="shared" ca="1" si="3"/>
        <v>1</v>
      </c>
      <c r="Q15" s="7">
        <v>12</v>
      </c>
      <c r="R15" s="7">
        <f t="shared" ca="1" si="9"/>
        <v>4.2944103585189852E-2</v>
      </c>
      <c r="S15" s="7">
        <f t="shared" ca="1" si="4"/>
        <v>1</v>
      </c>
    </row>
    <row r="16" spans="1:19" ht="20.25" x14ac:dyDescent="0.25">
      <c r="A16" s="7">
        <v>13</v>
      </c>
      <c r="B16" s="7">
        <f t="shared" ca="1" si="5"/>
        <v>0.57666105317374028</v>
      </c>
      <c r="C16" s="7">
        <f t="shared" ca="1" si="0"/>
        <v>0</v>
      </c>
      <c r="E16" s="7">
        <v>13</v>
      </c>
      <c r="F16" s="7">
        <f t="shared" ca="1" si="6"/>
        <v>1.4382071486324866E-2</v>
      </c>
      <c r="G16" s="7">
        <f t="shared" ca="1" si="1"/>
        <v>1</v>
      </c>
      <c r="I16" s="7">
        <v>13</v>
      </c>
      <c r="J16" s="7">
        <f t="shared" ca="1" si="7"/>
        <v>0.32510520000829135</v>
      </c>
      <c r="K16" s="7">
        <f t="shared" ca="1" si="2"/>
        <v>1</v>
      </c>
      <c r="M16" s="7">
        <v>13</v>
      </c>
      <c r="N16" s="7">
        <f t="shared" ca="1" si="8"/>
        <v>0.93283862226159664</v>
      </c>
      <c r="O16" s="7">
        <f t="shared" ca="1" si="3"/>
        <v>0</v>
      </c>
      <c r="Q16" s="7">
        <v>13</v>
      </c>
      <c r="R16" s="7">
        <f t="shared" ca="1" si="9"/>
        <v>0.5296264344297964</v>
      </c>
      <c r="S16" s="7">
        <f t="shared" ca="1" si="4"/>
        <v>0</v>
      </c>
    </row>
    <row r="17" spans="1:19" ht="20.25" x14ac:dyDescent="0.25">
      <c r="A17" s="7">
        <v>14</v>
      </c>
      <c r="B17" s="7">
        <f t="shared" ca="1" si="5"/>
        <v>0.48873619964559378</v>
      </c>
      <c r="C17" s="7">
        <f t="shared" ca="1" si="0"/>
        <v>1</v>
      </c>
      <c r="E17" s="7">
        <v>14</v>
      </c>
      <c r="F17" s="7">
        <f t="shared" ca="1" si="6"/>
        <v>0.13971733930326791</v>
      </c>
      <c r="G17" s="7">
        <f t="shared" ca="1" si="1"/>
        <v>1</v>
      </c>
      <c r="I17" s="7">
        <v>14</v>
      </c>
      <c r="J17" s="7">
        <f t="shared" ca="1" si="7"/>
        <v>0.72549398311204105</v>
      </c>
      <c r="K17" s="7">
        <f t="shared" ca="1" si="2"/>
        <v>0</v>
      </c>
      <c r="M17" s="7">
        <v>14</v>
      </c>
      <c r="N17" s="7">
        <f t="shared" ca="1" si="8"/>
        <v>0.57796568091664369</v>
      </c>
      <c r="O17" s="7">
        <f t="shared" ca="1" si="3"/>
        <v>0</v>
      </c>
      <c r="Q17" s="7">
        <v>14</v>
      </c>
      <c r="R17" s="7">
        <f t="shared" ca="1" si="9"/>
        <v>0.59640791238162916</v>
      </c>
      <c r="S17" s="7">
        <f t="shared" ca="1" si="4"/>
        <v>0</v>
      </c>
    </row>
    <row r="18" spans="1:19" ht="20.25" x14ac:dyDescent="0.25">
      <c r="A18" s="7">
        <v>15</v>
      </c>
      <c r="B18" s="7">
        <f t="shared" ca="1" si="5"/>
        <v>0.63993985411189591</v>
      </c>
      <c r="C18" s="7">
        <f t="shared" ca="1" si="0"/>
        <v>0</v>
      </c>
      <c r="E18" s="7">
        <v>15</v>
      </c>
      <c r="F18" s="7">
        <f t="shared" ca="1" si="6"/>
        <v>0.31303069536768513</v>
      </c>
      <c r="G18" s="7">
        <f t="shared" ca="1" si="1"/>
        <v>1</v>
      </c>
      <c r="I18" s="7">
        <v>15</v>
      </c>
      <c r="J18" s="7">
        <f t="shared" ca="1" si="7"/>
        <v>0.13123146303605593</v>
      </c>
      <c r="K18" s="7">
        <f t="shared" ca="1" si="2"/>
        <v>1</v>
      </c>
      <c r="M18" s="7">
        <v>15</v>
      </c>
      <c r="N18" s="7">
        <f t="shared" ca="1" si="8"/>
        <v>0.2641831503486588</v>
      </c>
      <c r="O18" s="7">
        <f t="shared" ca="1" si="3"/>
        <v>1</v>
      </c>
      <c r="Q18" s="7">
        <v>15</v>
      </c>
      <c r="R18" s="7">
        <f t="shared" ca="1" si="9"/>
        <v>0.28238268519348197</v>
      </c>
      <c r="S18" s="7">
        <f t="shared" ca="1" si="4"/>
        <v>1</v>
      </c>
    </row>
    <row r="19" spans="1:19" ht="20.25" x14ac:dyDescent="0.25">
      <c r="A19" s="7">
        <v>16</v>
      </c>
      <c r="B19" s="7">
        <f t="shared" ca="1" si="5"/>
        <v>0.71708083589397453</v>
      </c>
      <c r="C19" s="7">
        <f t="shared" ca="1" si="0"/>
        <v>0</v>
      </c>
      <c r="E19" s="7">
        <v>16</v>
      </c>
      <c r="F19" s="7">
        <f t="shared" ca="1" si="6"/>
        <v>0.50096120008710221</v>
      </c>
      <c r="G19" s="7">
        <f t="shared" ca="1" si="1"/>
        <v>0</v>
      </c>
      <c r="I19" s="7">
        <v>16</v>
      </c>
      <c r="J19" s="7">
        <f t="shared" ca="1" si="7"/>
        <v>0.77164205511567507</v>
      </c>
      <c r="K19" s="7">
        <f t="shared" ca="1" si="2"/>
        <v>0</v>
      </c>
      <c r="M19" s="7">
        <v>16</v>
      </c>
      <c r="N19" s="7">
        <f t="shared" ca="1" si="8"/>
        <v>0.63818702371823166</v>
      </c>
      <c r="O19" s="7">
        <f t="shared" ca="1" si="3"/>
        <v>0</v>
      </c>
      <c r="Q19" s="7">
        <v>16</v>
      </c>
      <c r="R19" s="7">
        <f t="shared" ca="1" si="9"/>
        <v>0.30111275501784207</v>
      </c>
      <c r="S19" s="7">
        <f t="shared" ca="1" si="4"/>
        <v>1</v>
      </c>
    </row>
    <row r="20" spans="1:19" ht="20.25" x14ac:dyDescent="0.25">
      <c r="A20" s="7">
        <v>17</v>
      </c>
      <c r="B20" s="7">
        <f t="shared" ca="1" si="5"/>
        <v>0.73460699649152628</v>
      </c>
      <c r="C20" s="7">
        <f t="shared" ca="1" si="0"/>
        <v>0</v>
      </c>
      <c r="E20" s="7">
        <v>17</v>
      </c>
      <c r="F20" s="7">
        <f t="shared" ca="1" si="6"/>
        <v>0.54691242327652201</v>
      </c>
      <c r="G20" s="7">
        <f t="shared" ca="1" si="1"/>
        <v>0</v>
      </c>
      <c r="I20" s="7">
        <v>17</v>
      </c>
      <c r="J20" s="7">
        <f t="shared" ca="1" si="7"/>
        <v>0.46821040313119688</v>
      </c>
      <c r="K20" s="7">
        <f t="shared" ca="1" si="2"/>
        <v>1</v>
      </c>
      <c r="M20" s="7">
        <v>17</v>
      </c>
      <c r="N20" s="7">
        <f t="shared" ca="1" si="8"/>
        <v>0.430726079185482</v>
      </c>
      <c r="O20" s="7">
        <f t="shared" ca="1" si="3"/>
        <v>1</v>
      </c>
      <c r="Q20" s="7">
        <v>17</v>
      </c>
      <c r="R20" s="7">
        <f t="shared" ca="1" si="9"/>
        <v>9.9400900659465274E-2</v>
      </c>
      <c r="S20" s="7">
        <f t="shared" ca="1" si="4"/>
        <v>1</v>
      </c>
    </row>
    <row r="21" spans="1:19" ht="20.25" x14ac:dyDescent="0.25">
      <c r="A21" s="7">
        <v>18</v>
      </c>
      <c r="B21" s="7">
        <f t="shared" ca="1" si="5"/>
        <v>0.58329331463056056</v>
      </c>
      <c r="C21" s="7">
        <f t="shared" ca="1" si="0"/>
        <v>0</v>
      </c>
      <c r="E21" s="7">
        <v>18</v>
      </c>
      <c r="F21" s="7">
        <f t="shared" ca="1" si="6"/>
        <v>0.83084974089617503</v>
      </c>
      <c r="G21" s="7">
        <f t="shared" ca="1" si="1"/>
        <v>0</v>
      </c>
      <c r="I21" s="7">
        <v>18</v>
      </c>
      <c r="J21" s="7">
        <f t="shared" ca="1" si="7"/>
        <v>9.2972983650419505E-2</v>
      </c>
      <c r="K21" s="7">
        <f t="shared" ca="1" si="2"/>
        <v>1</v>
      </c>
      <c r="M21" s="7">
        <v>18</v>
      </c>
      <c r="N21" s="7">
        <f t="shared" ca="1" si="8"/>
        <v>0.70355003936931382</v>
      </c>
      <c r="O21" s="7">
        <f t="shared" ca="1" si="3"/>
        <v>0</v>
      </c>
      <c r="Q21" s="7">
        <v>18</v>
      </c>
      <c r="R21" s="7">
        <f t="shared" ca="1" si="9"/>
        <v>0.15487309957950035</v>
      </c>
      <c r="S21" s="7">
        <f t="shared" ca="1" si="4"/>
        <v>1</v>
      </c>
    </row>
    <row r="22" spans="1:19" ht="20.25" x14ac:dyDescent="0.25">
      <c r="A22" s="7">
        <v>19</v>
      </c>
      <c r="B22" s="7">
        <f t="shared" ca="1" si="5"/>
        <v>6.7677780956563849E-2</v>
      </c>
      <c r="C22" s="7">
        <f t="shared" ca="1" si="0"/>
        <v>1</v>
      </c>
      <c r="E22" s="7">
        <v>19</v>
      </c>
      <c r="F22" s="7">
        <f t="shared" ca="1" si="6"/>
        <v>0.55977018092062225</v>
      </c>
      <c r="G22" s="7">
        <f t="shared" ca="1" si="1"/>
        <v>0</v>
      </c>
      <c r="I22" s="7">
        <v>19</v>
      </c>
      <c r="J22" s="7">
        <f t="shared" ca="1" si="7"/>
        <v>0.90923090485291924</v>
      </c>
      <c r="K22" s="7">
        <f t="shared" ca="1" si="2"/>
        <v>0</v>
      </c>
      <c r="M22" s="7">
        <v>19</v>
      </c>
      <c r="N22" s="7">
        <f t="shared" ca="1" si="8"/>
        <v>0.42774359060357492</v>
      </c>
      <c r="O22" s="7">
        <f t="shared" ca="1" si="3"/>
        <v>1</v>
      </c>
      <c r="Q22" s="7">
        <v>19</v>
      </c>
      <c r="R22" s="7">
        <f t="shared" ca="1" si="9"/>
        <v>0.71006491586389808</v>
      </c>
      <c r="S22" s="7">
        <f t="shared" ca="1" si="4"/>
        <v>0</v>
      </c>
    </row>
    <row r="23" spans="1:19" ht="20.25" x14ac:dyDescent="0.25">
      <c r="A23" s="7">
        <v>20</v>
      </c>
      <c r="B23" s="7">
        <f t="shared" ca="1" si="5"/>
        <v>0.56219515257518793</v>
      </c>
      <c r="C23" s="7">
        <f t="shared" ca="1" si="0"/>
        <v>0</v>
      </c>
      <c r="E23" s="7">
        <v>20</v>
      </c>
      <c r="F23" s="7">
        <f t="shared" ca="1" si="6"/>
        <v>0.549023129069937</v>
      </c>
      <c r="G23" s="7">
        <f t="shared" ca="1" si="1"/>
        <v>0</v>
      </c>
      <c r="I23" s="7">
        <v>20</v>
      </c>
      <c r="J23" s="7">
        <f t="shared" ca="1" si="7"/>
        <v>0.12451473628179444</v>
      </c>
      <c r="K23" s="7">
        <f t="shared" ca="1" si="2"/>
        <v>1</v>
      </c>
      <c r="M23" s="7">
        <v>20</v>
      </c>
      <c r="N23" s="7">
        <f t="shared" ca="1" si="8"/>
        <v>0.57764336480881306</v>
      </c>
      <c r="O23" s="7">
        <f t="shared" ca="1" si="3"/>
        <v>0</v>
      </c>
      <c r="Q23" s="7">
        <v>20</v>
      </c>
      <c r="R23" s="7">
        <f t="shared" ca="1" si="9"/>
        <v>0.37452547632520972</v>
      </c>
      <c r="S23" s="7">
        <f t="shared" ca="1" si="4"/>
        <v>1</v>
      </c>
    </row>
    <row r="24" spans="1:19" ht="23.25" x14ac:dyDescent="0.35">
      <c r="B24" s="68" t="s">
        <v>40</v>
      </c>
      <c r="C24" s="69">
        <f ca="1">SUM(C3:C23)</f>
        <v>9</v>
      </c>
      <c r="F24" s="68" t="s">
        <v>40</v>
      </c>
      <c r="G24" s="69">
        <f ca="1">SUM(G3:G23)</f>
        <v>7</v>
      </c>
      <c r="J24" s="68" t="s">
        <v>40</v>
      </c>
      <c r="K24" s="69">
        <f ca="1">SUM(K3:K23)</f>
        <v>14</v>
      </c>
      <c r="N24" s="68" t="s">
        <v>40</v>
      </c>
      <c r="O24" s="69">
        <f ca="1">SUM(O3:O23)</f>
        <v>6</v>
      </c>
      <c r="R24" s="68" t="s">
        <v>40</v>
      </c>
      <c r="S24" s="69">
        <f ca="1">SUM(S3:S23)</f>
        <v>12</v>
      </c>
    </row>
    <row r="26" spans="1:19" ht="27" thickBot="1" x14ac:dyDescent="0.45">
      <c r="A26" s="73" t="s">
        <v>42</v>
      </c>
      <c r="I26" s="70">
        <f ca="1">C24</f>
        <v>9</v>
      </c>
      <c r="J26" s="71">
        <f ca="1">G24</f>
        <v>7</v>
      </c>
      <c r="K26" s="71">
        <f ca="1">K24</f>
        <v>14</v>
      </c>
      <c r="L26" s="71">
        <f ca="1">O24</f>
        <v>6</v>
      </c>
      <c r="M26" s="72">
        <f ca="1">S24</f>
        <v>12</v>
      </c>
    </row>
    <row r="27" spans="1:19" ht="27" thickBot="1" x14ac:dyDescent="0.45">
      <c r="A27" s="46" t="s">
        <v>49</v>
      </c>
      <c r="B27" s="99">
        <f>A23*D1</f>
        <v>10</v>
      </c>
      <c r="H27" s="100" t="s">
        <v>50</v>
      </c>
      <c r="I27" s="101"/>
      <c r="J27" s="102">
        <f ca="1">AVERAGE(I26:M26)</f>
        <v>9.6</v>
      </c>
      <c r="M27" s="103" t="s">
        <v>52</v>
      </c>
      <c r="N27" s="101"/>
      <c r="O27" s="104">
        <f ca="1">($J$27-I26)^2</f>
        <v>0.3599999999999996</v>
      </c>
      <c r="P27" s="104">
        <f t="shared" ref="P27:S27" ca="1" si="10">($J$27-J26)^2</f>
        <v>6.759999999999998</v>
      </c>
      <c r="Q27" s="104">
        <f t="shared" ca="1" si="10"/>
        <v>19.360000000000003</v>
      </c>
      <c r="R27" s="104">
        <f t="shared" ca="1" si="10"/>
        <v>12.959999999999997</v>
      </c>
      <c r="S27" s="105">
        <f t="shared" ca="1" si="10"/>
        <v>5.7600000000000016</v>
      </c>
    </row>
    <row r="28" spans="1:19" ht="27" thickBot="1" x14ac:dyDescent="0.45">
      <c r="A28" s="46" t="s">
        <v>48</v>
      </c>
      <c r="B28" s="99">
        <f>B27*(1-D1)</f>
        <v>5</v>
      </c>
      <c r="H28" s="103" t="s">
        <v>51</v>
      </c>
      <c r="I28" s="101"/>
      <c r="J28" s="105">
        <f ca="1">AVERAGE(O27:S27)</f>
        <v>9.0400000000000009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="90" zoomScaleNormal="90" workbookViewId="0">
      <selection activeCell="L11" sqref="L11"/>
    </sheetView>
  </sheetViews>
  <sheetFormatPr defaultRowHeight="15" x14ac:dyDescent="0.25"/>
  <cols>
    <col min="1" max="1" width="13.7109375" customWidth="1"/>
    <col min="2" max="3" width="19.42578125" bestFit="1" customWidth="1"/>
    <col min="5" max="5" width="27.28515625" bestFit="1" customWidth="1"/>
    <col min="12" max="12" width="16" customWidth="1"/>
    <col min="13" max="13" width="14.140625" bestFit="1" customWidth="1"/>
  </cols>
  <sheetData>
    <row r="1" spans="1:13" ht="69.75" customHeight="1" x14ac:dyDescent="0.25">
      <c r="A1" s="9" t="s">
        <v>14</v>
      </c>
      <c r="B1" s="7" t="s">
        <v>2</v>
      </c>
      <c r="C1" s="8" t="s">
        <v>6</v>
      </c>
      <c r="E1" s="13" t="s">
        <v>13</v>
      </c>
      <c r="F1" s="11">
        <v>10</v>
      </c>
      <c r="L1" s="8" t="s">
        <v>6</v>
      </c>
      <c r="M1" s="7" t="s">
        <v>2</v>
      </c>
    </row>
    <row r="2" spans="1:13" ht="25.5" x14ac:dyDescent="0.35">
      <c r="A2" s="7">
        <v>0</v>
      </c>
      <c r="B2" s="7">
        <f>_xlfn.POISSON.DIST(A2,$F$1,1)</f>
        <v>4.5399929762484854E-5</v>
      </c>
      <c r="C2" s="7">
        <f>_xlfn.POISSON.DIST(A2,$F$1,0)</f>
        <v>4.5399929762484854E-5</v>
      </c>
      <c r="E2" s="10"/>
      <c r="F2" s="12"/>
      <c r="L2" s="2">
        <f>($F$1)^A2*EXP(-$F$1)/FACT(A2)</f>
        <v>4.5399929762484854E-5</v>
      </c>
      <c r="M2" s="2">
        <f>SUM($L$2:L2)</f>
        <v>4.5399929762484854E-5</v>
      </c>
    </row>
    <row r="3" spans="1:13" ht="20.25" x14ac:dyDescent="0.3">
      <c r="A3" s="7">
        <v>1</v>
      </c>
      <c r="B3" s="7">
        <f t="shared" ref="B3:B22" si="0">_xlfn.POISSON.DIST(A3,$F$1,1)</f>
        <v>4.9939922738733344E-4</v>
      </c>
      <c r="C3" s="7">
        <f t="shared" ref="C3:C22" si="1">_xlfn.POISSON.DIST(A3,$F$1,0)</f>
        <v>4.5399929762484861E-4</v>
      </c>
      <c r="L3" s="2">
        <f t="shared" ref="L3:L22" si="2">($F$1)^A3*EXP(-$F$1)/FACT(A3)</f>
        <v>4.5399929762484856E-4</v>
      </c>
      <c r="M3" s="2">
        <f>SUM($L$2:L3)</f>
        <v>4.9939922738733344E-4</v>
      </c>
    </row>
    <row r="4" spans="1:13" ht="20.25" x14ac:dyDescent="0.3">
      <c r="A4" s="7">
        <v>2</v>
      </c>
      <c r="B4" s="7">
        <f t="shared" si="0"/>
        <v>2.7693957155115762E-3</v>
      </c>
      <c r="C4" s="7">
        <f t="shared" si="1"/>
        <v>2.2699964881242444E-3</v>
      </c>
      <c r="L4" s="2">
        <f t="shared" si="2"/>
        <v>2.2699964881242427E-3</v>
      </c>
      <c r="M4" s="2">
        <f>SUM($L$2:L4)</f>
        <v>2.7693957155115762E-3</v>
      </c>
    </row>
    <row r="5" spans="1:13" ht="20.25" x14ac:dyDescent="0.3">
      <c r="A5" s="7">
        <v>3</v>
      </c>
      <c r="B5" s="7">
        <f t="shared" si="0"/>
        <v>1.0336050675925718E-2</v>
      </c>
      <c r="C5" s="7">
        <f t="shared" si="1"/>
        <v>7.5666549604141483E-3</v>
      </c>
      <c r="L5" s="2">
        <f t="shared" si="2"/>
        <v>7.5666549604141422E-3</v>
      </c>
      <c r="M5" s="2">
        <f>SUM($L$2:L5)</f>
        <v>1.0336050675925718E-2</v>
      </c>
    </row>
    <row r="6" spans="1:13" ht="20.25" x14ac:dyDescent="0.3">
      <c r="A6" s="7">
        <v>4</v>
      </c>
      <c r="B6" s="7">
        <f t="shared" si="0"/>
        <v>2.9252688076961065E-2</v>
      </c>
      <c r="C6" s="7">
        <f t="shared" si="1"/>
        <v>1.8916637401035354E-2</v>
      </c>
      <c r="L6" s="2">
        <f t="shared" si="2"/>
        <v>1.8916637401035354E-2</v>
      </c>
      <c r="M6" s="2">
        <f>SUM($L$2:L6)</f>
        <v>2.9252688076961072E-2</v>
      </c>
    </row>
    <row r="7" spans="1:13" ht="20.25" x14ac:dyDescent="0.3">
      <c r="A7" s="7">
        <v>5</v>
      </c>
      <c r="B7" s="7">
        <f t="shared" si="0"/>
        <v>6.7085962879031805E-2</v>
      </c>
      <c r="C7" s="7">
        <f t="shared" si="1"/>
        <v>3.7833274802070715E-2</v>
      </c>
      <c r="L7" s="2">
        <f t="shared" si="2"/>
        <v>3.7833274802070709E-2</v>
      </c>
      <c r="M7" s="2">
        <f>SUM($L$2:L7)</f>
        <v>6.7085962879031777E-2</v>
      </c>
    </row>
    <row r="8" spans="1:13" ht="20.25" x14ac:dyDescent="0.3">
      <c r="A8" s="7">
        <v>6</v>
      </c>
      <c r="B8" s="7">
        <f t="shared" si="0"/>
        <v>0.13014142088248298</v>
      </c>
      <c r="C8" s="7">
        <f t="shared" si="1"/>
        <v>6.3055458003451192E-2</v>
      </c>
      <c r="L8" s="2">
        <f t="shared" si="2"/>
        <v>6.3055458003451179E-2</v>
      </c>
      <c r="M8" s="2">
        <f>SUM($L$2:L8)</f>
        <v>0.13014142088248296</v>
      </c>
    </row>
    <row r="9" spans="1:13" ht="20.25" x14ac:dyDescent="0.3">
      <c r="A9" s="7">
        <v>7</v>
      </c>
      <c r="B9" s="7">
        <f t="shared" si="0"/>
        <v>0.22022064660169899</v>
      </c>
      <c r="C9" s="7">
        <f t="shared" si="1"/>
        <v>9.0079225719215977E-2</v>
      </c>
      <c r="L9" s="2">
        <f t="shared" si="2"/>
        <v>9.0079225719215991E-2</v>
      </c>
      <c r="M9" s="2">
        <f>SUM($L$2:L9)</f>
        <v>0.22022064660169893</v>
      </c>
    </row>
    <row r="10" spans="1:13" ht="20.25" x14ac:dyDescent="0.3">
      <c r="A10" s="7">
        <v>8</v>
      </c>
      <c r="B10" s="7">
        <f t="shared" si="0"/>
        <v>0.33281967875071894</v>
      </c>
      <c r="C10" s="7">
        <f t="shared" si="1"/>
        <v>0.11259903214901996</v>
      </c>
      <c r="L10" s="2">
        <f t="shared" si="2"/>
        <v>0.11259903214901998</v>
      </c>
      <c r="M10" s="2">
        <f>SUM($L$2:L10)</f>
        <v>0.33281967875071894</v>
      </c>
    </row>
    <row r="11" spans="1:13" ht="20.25" x14ac:dyDescent="0.3">
      <c r="A11" s="7">
        <v>9</v>
      </c>
      <c r="B11" s="7">
        <f t="shared" si="0"/>
        <v>0.45792971447185227</v>
      </c>
      <c r="C11" s="7">
        <f t="shared" si="1"/>
        <v>0.1251100357211333</v>
      </c>
      <c r="L11" s="2">
        <f t="shared" si="2"/>
        <v>0.1251100357211333</v>
      </c>
      <c r="M11" s="2">
        <f>SUM($L$2:L11)</f>
        <v>0.45792971447185227</v>
      </c>
    </row>
    <row r="12" spans="1:13" ht="20.25" x14ac:dyDescent="0.3">
      <c r="A12" s="7">
        <v>10</v>
      </c>
      <c r="B12" s="7">
        <f t="shared" si="0"/>
        <v>0.58303975019298537</v>
      </c>
      <c r="C12" s="7">
        <f t="shared" si="1"/>
        <v>0.1251100357211333</v>
      </c>
      <c r="L12" s="2">
        <f t="shared" si="2"/>
        <v>0.1251100357211333</v>
      </c>
      <c r="M12" s="2">
        <f>SUM($L$2:L12)</f>
        <v>0.5830397501929856</v>
      </c>
    </row>
    <row r="13" spans="1:13" ht="20.25" x14ac:dyDescent="0.3">
      <c r="A13" s="7">
        <v>11</v>
      </c>
      <c r="B13" s="7">
        <f t="shared" si="0"/>
        <v>0.69677614630310658</v>
      </c>
      <c r="C13" s="7">
        <f t="shared" si="1"/>
        <v>0.11373639611012118</v>
      </c>
      <c r="L13" s="2">
        <f t="shared" si="2"/>
        <v>0.11373639611012118</v>
      </c>
      <c r="M13" s="2">
        <f>SUM($L$2:L13)</f>
        <v>0.6967761463031068</v>
      </c>
    </row>
    <row r="14" spans="1:13" ht="20.25" x14ac:dyDescent="0.3">
      <c r="A14" s="7">
        <v>12</v>
      </c>
      <c r="B14" s="7">
        <f t="shared" si="0"/>
        <v>0.79155647639487436</v>
      </c>
      <c r="C14" s="7">
        <f t="shared" si="1"/>
        <v>9.4780330091767673E-2</v>
      </c>
      <c r="L14" s="2">
        <f t="shared" si="2"/>
        <v>9.4780330091767659E-2</v>
      </c>
      <c r="M14" s="2">
        <f>SUM($L$2:L14)</f>
        <v>0.79155647639487448</v>
      </c>
    </row>
    <row r="15" spans="1:13" ht="20.25" x14ac:dyDescent="0.3">
      <c r="A15" s="7">
        <v>13</v>
      </c>
      <c r="B15" s="7">
        <f t="shared" si="0"/>
        <v>0.864464422619311</v>
      </c>
      <c r="C15" s="7">
        <f t="shared" si="1"/>
        <v>7.2907946224436637E-2</v>
      </c>
      <c r="L15" s="2">
        <f t="shared" si="2"/>
        <v>7.2907946224436665E-2</v>
      </c>
      <c r="M15" s="2">
        <f>SUM($L$2:L15)</f>
        <v>0.86446442261931111</v>
      </c>
    </row>
    <row r="16" spans="1:13" ht="20.25" x14ac:dyDescent="0.3">
      <c r="A16" s="7">
        <v>14</v>
      </c>
      <c r="B16" s="7">
        <f t="shared" si="0"/>
        <v>0.9165415270653372</v>
      </c>
      <c r="C16" s="7">
        <f t="shared" si="1"/>
        <v>5.2077104446026187E-2</v>
      </c>
      <c r="L16" s="2">
        <f t="shared" si="2"/>
        <v>5.2077104446026187E-2</v>
      </c>
      <c r="M16" s="2">
        <f>SUM($L$2:L16)</f>
        <v>0.91654152706533731</v>
      </c>
    </row>
    <row r="17" spans="1:13" ht="20.25" x14ac:dyDescent="0.3">
      <c r="A17" s="7">
        <v>15</v>
      </c>
      <c r="B17" s="7">
        <f t="shared" si="0"/>
        <v>0.95125959669602134</v>
      </c>
      <c r="C17" s="7">
        <f t="shared" si="1"/>
        <v>3.4718069630684127E-2</v>
      </c>
      <c r="L17" s="2">
        <f t="shared" si="2"/>
        <v>3.4718069630684127E-2</v>
      </c>
      <c r="M17" s="2">
        <f>SUM($L$2:L17)</f>
        <v>0.95125959669602145</v>
      </c>
    </row>
    <row r="18" spans="1:13" ht="20.25" x14ac:dyDescent="0.3">
      <c r="A18" s="7">
        <v>16</v>
      </c>
      <c r="B18" s="7">
        <f t="shared" si="0"/>
        <v>0.97295839021519881</v>
      </c>
      <c r="C18" s="7">
        <f t="shared" si="1"/>
        <v>2.1698793519177549E-2</v>
      </c>
      <c r="L18" s="2">
        <f t="shared" si="2"/>
        <v>2.1698793519177577E-2</v>
      </c>
      <c r="M18" s="2">
        <f>SUM($L$2:L18)</f>
        <v>0.97295839021519903</v>
      </c>
    </row>
    <row r="19" spans="1:13" ht="20.25" x14ac:dyDescent="0.3">
      <c r="A19" s="7">
        <v>17</v>
      </c>
      <c r="B19" s="7">
        <f t="shared" si="0"/>
        <v>0.9857223864029504</v>
      </c>
      <c r="C19" s="7">
        <f t="shared" si="1"/>
        <v>1.2763996187751522E-2</v>
      </c>
      <c r="L19" s="2">
        <f t="shared" si="2"/>
        <v>1.2763996187751515E-2</v>
      </c>
      <c r="M19" s="2">
        <f>SUM($L$2:L19)</f>
        <v>0.98572238640295051</v>
      </c>
    </row>
    <row r="20" spans="1:13" ht="20.25" x14ac:dyDescent="0.3">
      <c r="A20" s="7">
        <v>18</v>
      </c>
      <c r="B20" s="7">
        <f t="shared" si="0"/>
        <v>0.99281349539614561</v>
      </c>
      <c r="C20" s="7">
        <f t="shared" si="1"/>
        <v>7.0911089931952852E-3</v>
      </c>
      <c r="L20" s="2">
        <f t="shared" si="2"/>
        <v>7.091108993195286E-3</v>
      </c>
      <c r="M20" s="2">
        <f>SUM($L$2:L20)</f>
        <v>0.99281349539614583</v>
      </c>
    </row>
    <row r="21" spans="1:13" ht="20.25" x14ac:dyDescent="0.3">
      <c r="A21" s="7">
        <v>19</v>
      </c>
      <c r="B21" s="7">
        <f t="shared" si="0"/>
        <v>0.99654565802414319</v>
      </c>
      <c r="C21" s="7">
        <f t="shared" si="1"/>
        <v>3.7321626279975249E-3</v>
      </c>
      <c r="L21" s="2">
        <f t="shared" si="2"/>
        <v>3.7321626279975192E-3</v>
      </c>
      <c r="M21" s="2">
        <f>SUM($L$2:L21)</f>
        <v>0.9965456580241433</v>
      </c>
    </row>
    <row r="22" spans="1:13" ht="20.25" x14ac:dyDescent="0.3">
      <c r="A22" s="7">
        <v>20</v>
      </c>
      <c r="B22" s="7">
        <f t="shared" si="0"/>
        <v>0.99841173933814198</v>
      </c>
      <c r="C22" s="7">
        <f t="shared" si="1"/>
        <v>1.8660813139987594E-3</v>
      </c>
      <c r="L22" s="2">
        <f t="shared" si="2"/>
        <v>1.8660813139987594E-3</v>
      </c>
      <c r="M22" s="2">
        <f>SUM($L$2:L22)</f>
        <v>0.99841173933814209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zoomScale="70" zoomScaleNormal="70" workbookViewId="0">
      <selection activeCell="J28" sqref="J28:J29"/>
    </sheetView>
  </sheetViews>
  <sheetFormatPr defaultRowHeight="15" x14ac:dyDescent="0.25"/>
  <cols>
    <col min="1" max="1" width="21.5703125" bestFit="1" customWidth="1"/>
    <col min="2" max="3" width="19.42578125" bestFit="1" customWidth="1"/>
    <col min="4" max="4" width="23.28515625" bestFit="1" customWidth="1"/>
    <col min="5" max="5" width="22.5703125" customWidth="1"/>
    <col min="7" max="7" width="12" customWidth="1"/>
    <col min="12" max="12" width="10.5703125" customWidth="1"/>
    <col min="13" max="13" width="4.5703125" bestFit="1" customWidth="1"/>
    <col min="15" max="15" width="13.7109375" customWidth="1"/>
  </cols>
  <sheetData>
    <row r="1" spans="1:16" ht="44.25" customHeight="1" thickBot="1" x14ac:dyDescent="0.3">
      <c r="A1" s="78" t="s">
        <v>44</v>
      </c>
      <c r="B1" s="79">
        <v>10</v>
      </c>
      <c r="C1" s="77"/>
      <c r="D1" s="80" t="s">
        <v>43</v>
      </c>
      <c r="E1" s="81">
        <f>EXP(-B1)</f>
        <v>4.5399929762484854E-5</v>
      </c>
      <c r="L1" s="17"/>
      <c r="M1" s="18"/>
    </row>
    <row r="2" spans="1:16" ht="26.25" thickBot="1" x14ac:dyDescent="0.4">
      <c r="A2" s="18"/>
      <c r="B2" s="18"/>
      <c r="C2" s="18"/>
      <c r="D2" s="76"/>
      <c r="E2" s="74"/>
      <c r="F2" s="75"/>
      <c r="L2" s="19"/>
      <c r="M2" s="19"/>
    </row>
    <row r="3" spans="1:16" ht="26.25" x14ac:dyDescent="0.4">
      <c r="A3" s="85" t="s">
        <v>38</v>
      </c>
      <c r="B3" s="86" t="s">
        <v>39</v>
      </c>
      <c r="C3" s="87" t="s">
        <v>45</v>
      </c>
      <c r="E3" s="85" t="s">
        <v>38</v>
      </c>
      <c r="F3" s="86" t="s">
        <v>39</v>
      </c>
      <c r="G3" s="87" t="s">
        <v>45</v>
      </c>
      <c r="I3" s="85" t="s">
        <v>38</v>
      </c>
      <c r="J3" s="86" t="s">
        <v>39</v>
      </c>
      <c r="K3" s="87" t="s">
        <v>45</v>
      </c>
      <c r="L3" s="19"/>
      <c r="M3" s="85" t="s">
        <v>38</v>
      </c>
      <c r="N3" s="86" t="s">
        <v>39</v>
      </c>
      <c r="O3" s="87" t="s">
        <v>45</v>
      </c>
    </row>
    <row r="4" spans="1:16" ht="25.5" x14ac:dyDescent="0.35">
      <c r="A4" s="88">
        <v>0</v>
      </c>
      <c r="B4" s="7">
        <f ca="1">RAND()</f>
        <v>0.64453688792153574</v>
      </c>
      <c r="C4" s="89">
        <f ca="1">B4</f>
        <v>0.64453688792153574</v>
      </c>
      <c r="D4" s="84">
        <f ca="1">IF(C4&gt;$E$1,IF(C5&lt;=$E$1,A4,0),0)</f>
        <v>0</v>
      </c>
      <c r="E4" s="88">
        <v>0</v>
      </c>
      <c r="F4" s="7">
        <f ca="1">RAND()</f>
        <v>0.53695579089795797</v>
      </c>
      <c r="G4" s="89">
        <f ca="1">F4</f>
        <v>0.53695579089795797</v>
      </c>
      <c r="H4" s="84">
        <f ca="1">IF(G4&gt;$E$1,IF(G5&lt;=$E$1,E4,0),0)</f>
        <v>0</v>
      </c>
      <c r="I4" s="88">
        <v>0</v>
      </c>
      <c r="J4" s="7">
        <f ca="1">RAND()</f>
        <v>0.97386221846951848</v>
      </c>
      <c r="K4" s="89">
        <f ca="1">J4</f>
        <v>0.97386221846951848</v>
      </c>
      <c r="L4" s="84">
        <f ca="1">IF(K4&gt;$E$1,IF(K5&lt;=$E$1,I4,0),0)</f>
        <v>0</v>
      </c>
      <c r="M4" s="88">
        <v>0</v>
      </c>
      <c r="N4" s="7">
        <f ca="1">RAND()</f>
        <v>0.70828689299181913</v>
      </c>
      <c r="O4" s="89">
        <f ca="1">N4</f>
        <v>0.70828689299181913</v>
      </c>
      <c r="P4" s="84">
        <f ca="1">IF(O4&gt;$E$1,IF(O5&lt;=$E$1,M4,0),0)</f>
        <v>0</v>
      </c>
    </row>
    <row r="5" spans="1:16" ht="25.5" x14ac:dyDescent="0.35">
      <c r="A5" s="88">
        <v>1</v>
      </c>
      <c r="B5" s="7">
        <f t="shared" ref="B5:B24" ca="1" si="0">RAND()</f>
        <v>9.3648969432139739E-2</v>
      </c>
      <c r="C5" s="89">
        <f ca="1">C4*B5</f>
        <v>6.0360215314850377E-2</v>
      </c>
      <c r="D5" s="84">
        <f t="shared" ref="D5:D24" ca="1" si="1">IF(C5&gt;$E$1,IF(C6&lt;=$E$1,A5,0),0)</f>
        <v>0</v>
      </c>
      <c r="E5" s="88">
        <v>1</v>
      </c>
      <c r="F5" s="7">
        <f t="shared" ref="F5:F24" ca="1" si="2">RAND()</f>
        <v>0.61488981401402987</v>
      </c>
      <c r="G5" s="89">
        <f ca="1">G4*F5</f>
        <v>0.33016864639900168</v>
      </c>
      <c r="H5" s="84">
        <f t="shared" ref="H5:H24" ca="1" si="3">IF(G5&gt;$E$1,IF(G6&lt;=$E$1,E5,0),0)</f>
        <v>0</v>
      </c>
      <c r="I5" s="88">
        <v>1</v>
      </c>
      <c r="J5" s="7">
        <f t="shared" ref="J5:J24" ca="1" si="4">RAND()</f>
        <v>0.81536165776279068</v>
      </c>
      <c r="K5" s="89">
        <f ca="1">K4*J5</f>
        <v>0.79404991288385562</v>
      </c>
      <c r="L5" s="84">
        <f t="shared" ref="L5:L24" ca="1" si="5">IF(K5&gt;$E$1,IF(K6&lt;=$E$1,I5,0),0)</f>
        <v>0</v>
      </c>
      <c r="M5" s="88">
        <v>1</v>
      </c>
      <c r="N5" s="7">
        <f t="shared" ref="N5:N24" ca="1" si="6">RAND()</f>
        <v>0.78516614057196144</v>
      </c>
      <c r="O5" s="89">
        <f ca="1">O4*N5</f>
        <v>0.55612288618809247</v>
      </c>
      <c r="P5" s="84">
        <f t="shared" ref="P5:P24" ca="1" si="7">IF(O5&gt;$E$1,IF(O6&lt;=$E$1,M5,0),0)</f>
        <v>0</v>
      </c>
    </row>
    <row r="6" spans="1:16" ht="25.5" x14ac:dyDescent="0.35">
      <c r="A6" s="88">
        <v>2</v>
      </c>
      <c r="B6" s="7">
        <f t="shared" ca="1" si="0"/>
        <v>0.60483603061955549</v>
      </c>
      <c r="C6" s="89">
        <f t="shared" ref="C6:C20" ca="1" si="8">C5*B6</f>
        <v>3.6508033038375805E-2</v>
      </c>
      <c r="D6" s="84">
        <f t="shared" ca="1" si="1"/>
        <v>0</v>
      </c>
      <c r="E6" s="88">
        <v>2</v>
      </c>
      <c r="F6" s="7">
        <f t="shared" ca="1" si="2"/>
        <v>0.55121358745521787</v>
      </c>
      <c r="G6" s="89">
        <f t="shared" ref="G6:G24" ca="1" si="9">G5*F6</f>
        <v>0.18199344404682702</v>
      </c>
      <c r="H6" s="84">
        <f t="shared" ca="1" si="3"/>
        <v>0</v>
      </c>
      <c r="I6" s="88">
        <v>2</v>
      </c>
      <c r="J6" s="7">
        <f t="shared" ca="1" si="4"/>
        <v>0.33956918138043723</v>
      </c>
      <c r="K6" s="89">
        <f t="shared" ref="K6:K24" ca="1" si="10">K5*J6</f>
        <v>0.26963487889317833</v>
      </c>
      <c r="L6" s="84">
        <f t="shared" ca="1" si="5"/>
        <v>0</v>
      </c>
      <c r="M6" s="88">
        <v>2</v>
      </c>
      <c r="N6" s="7">
        <f t="shared" ca="1" si="6"/>
        <v>0.33991857644677703</v>
      </c>
      <c r="O6" s="89">
        <f t="shared" ref="O6:O24" ca="1" si="11">O5*N6</f>
        <v>0.1890364998025294</v>
      </c>
      <c r="P6" s="84">
        <f t="shared" ca="1" si="7"/>
        <v>0</v>
      </c>
    </row>
    <row r="7" spans="1:16" ht="25.5" x14ac:dyDescent="0.35">
      <c r="A7" s="88">
        <v>3</v>
      </c>
      <c r="B7" s="7">
        <f t="shared" ca="1" si="0"/>
        <v>0.91915435330811435</v>
      </c>
      <c r="C7" s="89">
        <f t="shared" ca="1" si="8"/>
        <v>3.3556517497939586E-2</v>
      </c>
      <c r="D7" s="84">
        <f t="shared" ca="1" si="1"/>
        <v>0</v>
      </c>
      <c r="E7" s="88">
        <v>3</v>
      </c>
      <c r="F7" s="7">
        <f t="shared" ca="1" si="2"/>
        <v>0.86274428138255577</v>
      </c>
      <c r="G7" s="89">
        <f t="shared" ca="1" si="9"/>
        <v>0.15701380310051616</v>
      </c>
      <c r="H7" s="84">
        <f t="shared" ca="1" si="3"/>
        <v>0</v>
      </c>
      <c r="I7" s="88">
        <v>3</v>
      </c>
      <c r="J7" s="7">
        <f t="shared" ca="1" si="4"/>
        <v>0.89719109987408752</v>
      </c>
      <c r="K7" s="89">
        <f t="shared" ca="1" si="10"/>
        <v>0.24191401355858705</v>
      </c>
      <c r="L7" s="84">
        <f t="shared" ca="1" si="5"/>
        <v>0</v>
      </c>
      <c r="M7" s="88">
        <v>3</v>
      </c>
      <c r="N7" s="7">
        <f t="shared" ca="1" si="6"/>
        <v>0.32862817833064872</v>
      </c>
      <c r="O7" s="89">
        <f t="shared" ca="1" si="11"/>
        <v>6.2122720568107276E-2</v>
      </c>
      <c r="P7" s="84">
        <f t="shared" ca="1" si="7"/>
        <v>0</v>
      </c>
    </row>
    <row r="8" spans="1:16" ht="25.5" x14ac:dyDescent="0.35">
      <c r="A8" s="88">
        <v>4</v>
      </c>
      <c r="B8" s="7">
        <f t="shared" ca="1" si="0"/>
        <v>0.21420700503750134</v>
      </c>
      <c r="C8" s="89">
        <f t="shared" ca="1" si="8"/>
        <v>7.1880411127221468E-3</v>
      </c>
      <c r="D8" s="84">
        <f t="shared" ca="1" si="1"/>
        <v>0</v>
      </c>
      <c r="E8" s="88">
        <v>4</v>
      </c>
      <c r="F8" s="7">
        <f t="shared" ca="1" si="2"/>
        <v>0.36731415322442795</v>
      </c>
      <c r="G8" s="89">
        <f t="shared" ca="1" si="9"/>
        <v>5.7673392130413156E-2</v>
      </c>
      <c r="H8" s="84">
        <f t="shared" ca="1" si="3"/>
        <v>0</v>
      </c>
      <c r="I8" s="88">
        <v>4</v>
      </c>
      <c r="J8" s="7">
        <f t="shared" ca="1" si="4"/>
        <v>0.58680470613227209</v>
      </c>
      <c r="K8" s="89">
        <f t="shared" ca="1" si="10"/>
        <v>0.14195628163552515</v>
      </c>
      <c r="L8" s="84">
        <f t="shared" ca="1" si="5"/>
        <v>0</v>
      </c>
      <c r="M8" s="88">
        <v>4</v>
      </c>
      <c r="N8" s="7">
        <f t="shared" ca="1" si="6"/>
        <v>0.39259822181083415</v>
      </c>
      <c r="O8" s="89">
        <f t="shared" ca="1" si="11"/>
        <v>2.438926962909025E-2</v>
      </c>
      <c r="P8" s="84">
        <f t="shared" ca="1" si="7"/>
        <v>0</v>
      </c>
    </row>
    <row r="9" spans="1:16" ht="25.5" x14ac:dyDescent="0.35">
      <c r="A9" s="88">
        <v>5</v>
      </c>
      <c r="B9" s="7">
        <f t="shared" ca="1" si="0"/>
        <v>0.21536600186569266</v>
      </c>
      <c r="C9" s="89">
        <f t="shared" ca="1" si="8"/>
        <v>1.5480596756931933E-3</v>
      </c>
      <c r="D9" s="84">
        <f t="shared" ca="1" si="1"/>
        <v>0</v>
      </c>
      <c r="E9" s="88">
        <v>5</v>
      </c>
      <c r="F9" s="7">
        <f t="shared" ca="1" si="2"/>
        <v>0.87133392548353705</v>
      </c>
      <c r="G9" s="89">
        <f t="shared" ca="1" si="9"/>
        <v>5.0252783160944232E-2</v>
      </c>
      <c r="H9" s="84">
        <f t="shared" ca="1" si="3"/>
        <v>0</v>
      </c>
      <c r="I9" s="88">
        <v>5</v>
      </c>
      <c r="J9" s="7">
        <f t="shared" ca="1" si="4"/>
        <v>0.95772572903712649</v>
      </c>
      <c r="K9" s="89">
        <f t="shared" ca="1" si="10"/>
        <v>0.13595518332078296</v>
      </c>
      <c r="L9" s="84">
        <f t="shared" ca="1" si="5"/>
        <v>0</v>
      </c>
      <c r="M9" s="88">
        <v>5</v>
      </c>
      <c r="N9" s="7">
        <f t="shared" ca="1" si="6"/>
        <v>0.91814760576762178</v>
      </c>
      <c r="O9" s="89">
        <f t="shared" ca="1" si="11"/>
        <v>2.2392949516370185E-2</v>
      </c>
      <c r="P9" s="84">
        <f t="shared" ca="1" si="7"/>
        <v>0</v>
      </c>
    </row>
    <row r="10" spans="1:16" ht="25.5" x14ac:dyDescent="0.35">
      <c r="A10" s="88">
        <v>6</v>
      </c>
      <c r="B10" s="7">
        <f t="shared" ca="1" si="0"/>
        <v>9.8318767803921125E-2</v>
      </c>
      <c r="C10" s="89">
        <f t="shared" ca="1" si="8"/>
        <v>1.5220331980109251E-4</v>
      </c>
      <c r="D10" s="84">
        <f t="shared" ca="1" si="1"/>
        <v>0</v>
      </c>
      <c r="E10" s="88">
        <v>6</v>
      </c>
      <c r="F10" s="7">
        <f t="shared" ca="1" si="2"/>
        <v>0.98162969521617616</v>
      </c>
      <c r="G10" s="89">
        <f t="shared" ca="1" si="9"/>
        <v>4.9329624218042274E-2</v>
      </c>
      <c r="H10" s="84">
        <f t="shared" ca="1" si="3"/>
        <v>0</v>
      </c>
      <c r="I10" s="88">
        <v>6</v>
      </c>
      <c r="J10" s="7">
        <f t="shared" ca="1" si="4"/>
        <v>0.36890304114698858</v>
      </c>
      <c r="K10" s="89">
        <f t="shared" ca="1" si="10"/>
        <v>5.0154280586733171E-2</v>
      </c>
      <c r="L10" s="84">
        <f t="shared" ca="1" si="5"/>
        <v>0</v>
      </c>
      <c r="M10" s="88">
        <v>6</v>
      </c>
      <c r="N10" s="7">
        <f t="shared" ca="1" si="6"/>
        <v>0.42078974721020745</v>
      </c>
      <c r="O10" s="89">
        <f t="shared" ca="1" si="11"/>
        <v>9.4227235662843467E-3</v>
      </c>
      <c r="P10" s="84">
        <f t="shared" ca="1" si="7"/>
        <v>0</v>
      </c>
    </row>
    <row r="11" spans="1:16" ht="25.5" x14ac:dyDescent="0.35">
      <c r="A11" s="88">
        <v>7</v>
      </c>
      <c r="B11" s="7">
        <f t="shared" ca="1" si="0"/>
        <v>0.30807371454331556</v>
      </c>
      <c r="C11" s="89">
        <f t="shared" ca="1" si="8"/>
        <v>4.6889842096946744E-5</v>
      </c>
      <c r="D11" s="84">
        <f t="shared" ca="1" si="1"/>
        <v>7</v>
      </c>
      <c r="E11" s="88">
        <v>7</v>
      </c>
      <c r="F11" s="7">
        <f t="shared" ca="1" si="2"/>
        <v>5.0971099679412379E-2</v>
      </c>
      <c r="G11" s="89">
        <f t="shared" ca="1" si="9"/>
        <v>2.5143851931657877E-3</v>
      </c>
      <c r="H11" s="84">
        <f t="shared" ca="1" si="3"/>
        <v>0</v>
      </c>
      <c r="I11" s="88">
        <v>7</v>
      </c>
      <c r="J11" s="7">
        <f t="shared" ca="1" si="4"/>
        <v>0.89975041191317029</v>
      </c>
      <c r="K11" s="89">
        <f t="shared" ca="1" si="10"/>
        <v>4.5126334617121892E-2</v>
      </c>
      <c r="L11" s="84">
        <f t="shared" ca="1" si="5"/>
        <v>0</v>
      </c>
      <c r="M11" s="88">
        <v>7</v>
      </c>
      <c r="N11" s="7">
        <f t="shared" ca="1" si="6"/>
        <v>0.61204461064302529</v>
      </c>
      <c r="O11" s="89">
        <f t="shared" ca="1" si="11"/>
        <v>5.7671271763233617E-3</v>
      </c>
      <c r="P11" s="84">
        <f t="shared" ca="1" si="7"/>
        <v>0</v>
      </c>
    </row>
    <row r="12" spans="1:16" ht="25.5" x14ac:dyDescent="0.35">
      <c r="A12" s="88">
        <v>8</v>
      </c>
      <c r="B12" s="7">
        <f t="shared" ca="1" si="0"/>
        <v>0.63082960373804819</v>
      </c>
      <c r="C12" s="89">
        <f t="shared" ca="1" si="8"/>
        <v>2.9579500509356565E-5</v>
      </c>
      <c r="D12" s="84">
        <f t="shared" ca="1" si="1"/>
        <v>0</v>
      </c>
      <c r="E12" s="88">
        <v>8</v>
      </c>
      <c r="F12" s="7">
        <f t="shared" ca="1" si="2"/>
        <v>0.15753668659181075</v>
      </c>
      <c r="G12" s="89">
        <f t="shared" ca="1" si="9"/>
        <v>3.9610791214684821E-4</v>
      </c>
      <c r="H12" s="84">
        <f t="shared" ca="1" si="3"/>
        <v>0</v>
      </c>
      <c r="I12" s="88">
        <v>8</v>
      </c>
      <c r="J12" s="7">
        <f t="shared" ca="1" si="4"/>
        <v>0.20787583023512879</v>
      </c>
      <c r="K12" s="89">
        <f t="shared" ca="1" si="10"/>
        <v>9.380674274002446E-3</v>
      </c>
      <c r="L12" s="84">
        <f t="shared" ca="1" si="5"/>
        <v>0</v>
      </c>
      <c r="M12" s="88">
        <v>8</v>
      </c>
      <c r="N12" s="7">
        <f t="shared" ca="1" si="6"/>
        <v>0.57491988430804364</v>
      </c>
      <c r="O12" s="89">
        <f t="shared" ca="1" si="11"/>
        <v>3.3156360890016015E-3</v>
      </c>
      <c r="P12" s="84">
        <f t="shared" ca="1" si="7"/>
        <v>0</v>
      </c>
    </row>
    <row r="13" spans="1:16" ht="25.5" x14ac:dyDescent="0.35">
      <c r="A13" s="88">
        <v>9</v>
      </c>
      <c r="B13" s="7">
        <f t="shared" ca="1" si="0"/>
        <v>0.76401342156574092</v>
      </c>
      <c r="C13" s="89">
        <f t="shared" ca="1" si="8"/>
        <v>2.2599135392359086E-5</v>
      </c>
      <c r="D13" s="84">
        <f t="shared" ca="1" si="1"/>
        <v>0</v>
      </c>
      <c r="E13" s="88">
        <v>9</v>
      </c>
      <c r="F13" s="7">
        <f t="shared" ca="1" si="2"/>
        <v>0.85569667117762305</v>
      </c>
      <c r="G13" s="89">
        <f t="shared" ca="1" si="9"/>
        <v>3.3894822185117637E-4</v>
      </c>
      <c r="H13" s="84">
        <f t="shared" ca="1" si="3"/>
        <v>0</v>
      </c>
      <c r="I13" s="88">
        <v>9</v>
      </c>
      <c r="J13" s="7">
        <f t="shared" ca="1" si="4"/>
        <v>0.58231408942911123</v>
      </c>
      <c r="K13" s="89">
        <f t="shared" ca="1" si="10"/>
        <v>5.4624987980968235E-3</v>
      </c>
      <c r="L13" s="84">
        <f t="shared" ca="1" si="5"/>
        <v>0</v>
      </c>
      <c r="M13" s="88">
        <v>9</v>
      </c>
      <c r="N13" s="7">
        <f t="shared" ca="1" si="6"/>
        <v>0.26437610993996963</v>
      </c>
      <c r="O13" s="89">
        <f t="shared" ca="1" si="11"/>
        <v>8.7657497118681833E-4</v>
      </c>
      <c r="P13" s="84">
        <f t="shared" ca="1" si="7"/>
        <v>0</v>
      </c>
    </row>
    <row r="14" spans="1:16" ht="25.5" x14ac:dyDescent="0.35">
      <c r="A14" s="88">
        <v>10</v>
      </c>
      <c r="B14" s="7">
        <f t="shared" ca="1" si="0"/>
        <v>0.65241719756309624</v>
      </c>
      <c r="C14" s="89">
        <f t="shared" ca="1" si="8"/>
        <v>1.4744064580031897E-5</v>
      </c>
      <c r="D14" s="84">
        <f t="shared" ca="1" si="1"/>
        <v>0</v>
      </c>
      <c r="E14" s="88">
        <v>10</v>
      </c>
      <c r="F14" s="7">
        <f t="shared" ca="1" si="2"/>
        <v>0.69900724645611223</v>
      </c>
      <c r="G14" s="89">
        <f t="shared" ca="1" si="9"/>
        <v>2.3692726324738624E-4</v>
      </c>
      <c r="H14" s="84">
        <f t="shared" ca="1" si="3"/>
        <v>0</v>
      </c>
      <c r="I14" s="88">
        <v>10</v>
      </c>
      <c r="J14" s="7">
        <f t="shared" ca="1" si="4"/>
        <v>0.6256949925498797</v>
      </c>
      <c r="K14" s="89">
        <f t="shared" ca="1" si="10"/>
        <v>3.4178581447789186E-3</v>
      </c>
      <c r="L14" s="84">
        <f t="shared" ca="1" si="5"/>
        <v>0</v>
      </c>
      <c r="M14" s="88">
        <v>10</v>
      </c>
      <c r="N14" s="7">
        <f t="shared" ca="1" si="6"/>
        <v>0.57949455137289563</v>
      </c>
      <c r="O14" s="89">
        <f t="shared" ca="1" si="11"/>
        <v>5.0797041967261421E-4</v>
      </c>
      <c r="P14" s="84">
        <f t="shared" ca="1" si="7"/>
        <v>0</v>
      </c>
    </row>
    <row r="15" spans="1:16" ht="25.5" x14ac:dyDescent="0.35">
      <c r="A15" s="88">
        <v>11</v>
      </c>
      <c r="B15" s="7">
        <f t="shared" ca="1" si="0"/>
        <v>0.11680310044640718</v>
      </c>
      <c r="C15" s="89">
        <f t="shared" ca="1" si="8"/>
        <v>1.72215245612978E-6</v>
      </c>
      <c r="D15" s="84">
        <f t="shared" ca="1" si="1"/>
        <v>0</v>
      </c>
      <c r="E15" s="88">
        <v>11</v>
      </c>
      <c r="F15" s="7">
        <f t="shared" ca="1" si="2"/>
        <v>0.44294644465182154</v>
      </c>
      <c r="G15" s="89">
        <f t="shared" ca="1" si="9"/>
        <v>1.0494608889651592E-4</v>
      </c>
      <c r="H15" s="84">
        <f t="shared" ca="1" si="3"/>
        <v>0</v>
      </c>
      <c r="I15" s="88">
        <v>11</v>
      </c>
      <c r="J15" s="7">
        <f t="shared" ca="1" si="4"/>
        <v>0.88017549639794124</v>
      </c>
      <c r="K15" s="89">
        <f t="shared" ca="1" si="10"/>
        <v>3.008314989198531E-3</v>
      </c>
      <c r="L15" s="84">
        <f t="shared" ca="1" si="5"/>
        <v>0</v>
      </c>
      <c r="M15" s="88">
        <v>11</v>
      </c>
      <c r="N15" s="7">
        <f t="shared" ca="1" si="6"/>
        <v>0.27428487874297558</v>
      </c>
      <c r="O15" s="89">
        <f t="shared" ca="1" si="11"/>
        <v>1.393286049649214E-4</v>
      </c>
      <c r="P15" s="84">
        <f t="shared" ca="1" si="7"/>
        <v>0</v>
      </c>
    </row>
    <row r="16" spans="1:16" ht="25.5" x14ac:dyDescent="0.35">
      <c r="A16" s="88">
        <v>12</v>
      </c>
      <c r="B16" s="7">
        <f t="shared" ca="1" si="0"/>
        <v>0.41413612526318544</v>
      </c>
      <c r="C16" s="89">
        <f t="shared" ca="1" si="8"/>
        <v>7.1320554529406507E-7</v>
      </c>
      <c r="D16" s="84">
        <f t="shared" ca="1" si="1"/>
        <v>0</v>
      </c>
      <c r="E16" s="88">
        <v>12</v>
      </c>
      <c r="F16" s="7">
        <f t="shared" ca="1" si="2"/>
        <v>0.60724851476162045</v>
      </c>
      <c r="G16" s="89">
        <f t="shared" ca="1" si="9"/>
        <v>6.3728356612450274E-5</v>
      </c>
      <c r="H16" s="84">
        <f t="shared" ca="1" si="3"/>
        <v>12</v>
      </c>
      <c r="I16" s="88">
        <v>12</v>
      </c>
      <c r="J16" s="7">
        <f t="shared" ca="1" si="4"/>
        <v>0.76999810796062851</v>
      </c>
      <c r="K16" s="89">
        <f t="shared" ca="1" si="10"/>
        <v>2.3163968498324675E-3</v>
      </c>
      <c r="L16" s="84">
        <f t="shared" ca="1" si="5"/>
        <v>0</v>
      </c>
      <c r="M16" s="88">
        <v>12</v>
      </c>
      <c r="N16" s="7">
        <f t="shared" ca="1" si="6"/>
        <v>0.71131275447040332</v>
      </c>
      <c r="O16" s="89">
        <f t="shared" ca="1" si="11"/>
        <v>9.9106213774116948E-5</v>
      </c>
      <c r="P16" s="84">
        <f t="shared" ca="1" si="7"/>
        <v>12</v>
      </c>
    </row>
    <row r="17" spans="1:16" ht="25.5" x14ac:dyDescent="0.35">
      <c r="A17" s="88">
        <v>13</v>
      </c>
      <c r="B17" s="7">
        <f t="shared" ca="1" si="0"/>
        <v>7.9247092295474553E-2</v>
      </c>
      <c r="C17" s="89">
        <f t="shared" ca="1" si="8"/>
        <v>5.6519465673563032E-8</v>
      </c>
      <c r="D17" s="84">
        <f t="shared" ca="1" si="1"/>
        <v>0</v>
      </c>
      <c r="E17" s="88">
        <v>13</v>
      </c>
      <c r="F17" s="7">
        <f t="shared" ca="1" si="2"/>
        <v>0.13971948870988016</v>
      </c>
      <c r="G17" s="89">
        <f t="shared" ca="1" si="9"/>
        <v>8.9040934022124626E-6</v>
      </c>
      <c r="H17" s="84">
        <f t="shared" ca="1" si="3"/>
        <v>0</v>
      </c>
      <c r="I17" s="88">
        <v>13</v>
      </c>
      <c r="J17" s="7">
        <f t="shared" ca="1" si="4"/>
        <v>0.16769629270708331</v>
      </c>
      <c r="K17" s="89">
        <f t="shared" ca="1" si="10"/>
        <v>3.8845116415527119E-4</v>
      </c>
      <c r="L17" s="84">
        <f t="shared" ca="1" si="5"/>
        <v>13</v>
      </c>
      <c r="M17" s="88">
        <v>13</v>
      </c>
      <c r="N17" s="7">
        <f t="shared" ca="1" si="6"/>
        <v>5.5894599983629667E-2</v>
      </c>
      <c r="O17" s="89">
        <f t="shared" ca="1" si="11"/>
        <v>5.5395021747963555E-6</v>
      </c>
      <c r="P17" s="84">
        <f t="shared" ca="1" si="7"/>
        <v>0</v>
      </c>
    </row>
    <row r="18" spans="1:16" ht="25.5" x14ac:dyDescent="0.35">
      <c r="A18" s="88">
        <v>14</v>
      </c>
      <c r="B18" s="7">
        <f t="shared" ca="1" si="0"/>
        <v>0.79556888371261436</v>
      </c>
      <c r="C18" s="89">
        <f t="shared" ca="1" si="8"/>
        <v>4.4965128213949968E-8</v>
      </c>
      <c r="D18" s="84">
        <f t="shared" ca="1" si="1"/>
        <v>0</v>
      </c>
      <c r="E18" s="88">
        <v>14</v>
      </c>
      <c r="F18" s="7">
        <f t="shared" ca="1" si="2"/>
        <v>0.9007569407873377</v>
      </c>
      <c r="G18" s="89">
        <f t="shared" ca="1" si="9"/>
        <v>8.0204239334616158E-6</v>
      </c>
      <c r="H18" s="84">
        <f t="shared" ca="1" si="3"/>
        <v>0</v>
      </c>
      <c r="I18" s="88">
        <v>14</v>
      </c>
      <c r="J18" s="7">
        <f t="shared" ca="1" si="4"/>
        <v>0.10950115385770454</v>
      </c>
      <c r="K18" s="89">
        <f t="shared" ca="1" si="10"/>
        <v>4.2535850692370793E-5</v>
      </c>
      <c r="L18" s="84">
        <f t="shared" ca="1" si="5"/>
        <v>0</v>
      </c>
      <c r="M18" s="88">
        <v>14</v>
      </c>
      <c r="N18" s="7">
        <f t="shared" ca="1" si="6"/>
        <v>4.9155804667734393E-2</v>
      </c>
      <c r="O18" s="89">
        <f t="shared" ca="1" si="11"/>
        <v>2.7229868686077952E-7</v>
      </c>
      <c r="P18" s="84">
        <f t="shared" ca="1" si="7"/>
        <v>0</v>
      </c>
    </row>
    <row r="19" spans="1:16" ht="25.5" x14ac:dyDescent="0.35">
      <c r="A19" s="88">
        <v>15</v>
      </c>
      <c r="B19" s="7">
        <f t="shared" ca="1" si="0"/>
        <v>0.41734188340591227</v>
      </c>
      <c r="C19" s="89">
        <f t="shared" ca="1" si="8"/>
        <v>1.8765831296398202E-8</v>
      </c>
      <c r="D19" s="84">
        <f t="shared" ca="1" si="1"/>
        <v>0</v>
      </c>
      <c r="E19" s="88">
        <v>15</v>
      </c>
      <c r="F19" s="7">
        <f t="shared" ca="1" si="2"/>
        <v>0.62745946169547318</v>
      </c>
      <c r="G19" s="89">
        <f t="shared" ca="1" si="9"/>
        <v>5.0324908838593147E-6</v>
      </c>
      <c r="H19" s="84">
        <f t="shared" ca="1" si="3"/>
        <v>0</v>
      </c>
      <c r="I19" s="88">
        <v>15</v>
      </c>
      <c r="J19" s="7">
        <f t="shared" ca="1" si="4"/>
        <v>0.32872627873245464</v>
      </c>
      <c r="K19" s="89">
        <f t="shared" ca="1" si="10"/>
        <v>1.3982651910822355E-5</v>
      </c>
      <c r="L19" s="84">
        <f t="shared" ca="1" si="5"/>
        <v>0</v>
      </c>
      <c r="M19" s="88">
        <v>15</v>
      </c>
      <c r="N19" s="7">
        <f t="shared" ca="1" si="6"/>
        <v>0.96428891105638115</v>
      </c>
      <c r="O19" s="89">
        <f t="shared" ca="1" si="11"/>
        <v>2.6257460423506358E-7</v>
      </c>
      <c r="P19" s="84">
        <f t="shared" ca="1" si="7"/>
        <v>0</v>
      </c>
    </row>
    <row r="20" spans="1:16" ht="25.5" x14ac:dyDescent="0.35">
      <c r="A20" s="88">
        <v>16</v>
      </c>
      <c r="B20" s="7">
        <f t="shared" ca="1" si="0"/>
        <v>0.34778102543344769</v>
      </c>
      <c r="C20" s="89">
        <f t="shared" ca="1" si="8"/>
        <v>6.5264000513724516E-9</v>
      </c>
      <c r="D20" s="84">
        <f t="shared" ca="1" si="1"/>
        <v>0</v>
      </c>
      <c r="E20" s="88">
        <v>16</v>
      </c>
      <c r="F20" s="7">
        <f t="shared" ca="1" si="2"/>
        <v>0.7693577861748816</v>
      </c>
      <c r="G20" s="89">
        <f t="shared" ca="1" si="9"/>
        <v>3.8717860453512756E-6</v>
      </c>
      <c r="H20" s="84">
        <f t="shared" ca="1" si="3"/>
        <v>0</v>
      </c>
      <c r="I20" s="88">
        <v>16</v>
      </c>
      <c r="J20" s="7">
        <f t="shared" ca="1" si="4"/>
        <v>0.10949355310976638</v>
      </c>
      <c r="K20" s="89">
        <f t="shared" ca="1" si="10"/>
        <v>1.5310102396130039E-6</v>
      </c>
      <c r="L20" s="84">
        <f t="shared" ca="1" si="5"/>
        <v>0</v>
      </c>
      <c r="M20" s="88">
        <v>16</v>
      </c>
      <c r="N20" s="7">
        <f t="shared" ca="1" si="6"/>
        <v>0.16564571797221828</v>
      </c>
      <c r="O20" s="89">
        <f t="shared" ca="1" si="11"/>
        <v>4.3494358839788169E-8</v>
      </c>
      <c r="P20" s="84">
        <f t="shared" ca="1" si="7"/>
        <v>0</v>
      </c>
    </row>
    <row r="21" spans="1:16" ht="25.5" x14ac:dyDescent="0.35">
      <c r="A21" s="88">
        <v>17</v>
      </c>
      <c r="B21" s="7">
        <f t="shared" ca="1" si="0"/>
        <v>0.52720411531872835</v>
      </c>
      <c r="C21" s="89">
        <f t="shared" ref="C21:C24" ca="1" si="12">C20*B21</f>
        <v>3.4407449652999166E-9</v>
      </c>
      <c r="D21" s="84">
        <f t="shared" ca="1" si="1"/>
        <v>0</v>
      </c>
      <c r="E21" s="88">
        <v>17</v>
      </c>
      <c r="F21" s="7">
        <f t="shared" ca="1" si="2"/>
        <v>0.90323794649557987</v>
      </c>
      <c r="G21" s="89">
        <f t="shared" ca="1" si="9"/>
        <v>3.4971440768733284E-6</v>
      </c>
      <c r="H21" s="84">
        <f t="shared" ca="1" si="3"/>
        <v>0</v>
      </c>
      <c r="I21" s="88">
        <v>17</v>
      </c>
      <c r="J21" s="7">
        <f t="shared" ca="1" si="4"/>
        <v>0.68048572482161096</v>
      </c>
      <c r="K21" s="89">
        <f t="shared" ca="1" si="10"/>
        <v>1.0418306126123633E-6</v>
      </c>
      <c r="L21" s="84">
        <f t="shared" ca="1" si="5"/>
        <v>0</v>
      </c>
      <c r="M21" s="88">
        <v>17</v>
      </c>
      <c r="N21" s="7">
        <f t="shared" ca="1" si="6"/>
        <v>8.8994487985071702E-2</v>
      </c>
      <c r="O21" s="89">
        <f t="shared" ca="1" si="11"/>
        <v>3.8707581951859257E-9</v>
      </c>
      <c r="P21" s="84">
        <f t="shared" ca="1" si="7"/>
        <v>0</v>
      </c>
    </row>
    <row r="22" spans="1:16" ht="25.5" x14ac:dyDescent="0.35">
      <c r="A22" s="88">
        <v>18</v>
      </c>
      <c r="B22" s="7">
        <f t="shared" ca="1" si="0"/>
        <v>0.47637976879238975</v>
      </c>
      <c r="C22" s="89">
        <f t="shared" ca="1" si="12"/>
        <v>1.6391012910431533E-9</v>
      </c>
      <c r="D22" s="84">
        <f t="shared" ca="1" si="1"/>
        <v>0</v>
      </c>
      <c r="E22" s="88">
        <v>18</v>
      </c>
      <c r="F22" s="7">
        <f t="shared" ca="1" si="2"/>
        <v>0.48321626744309254</v>
      </c>
      <c r="G22" s="89">
        <f t="shared" ca="1" si="9"/>
        <v>1.6898769075374493E-6</v>
      </c>
      <c r="H22" s="84">
        <f t="shared" ca="1" si="3"/>
        <v>0</v>
      </c>
      <c r="I22" s="88">
        <v>18</v>
      </c>
      <c r="J22" s="7">
        <f t="shared" ca="1" si="4"/>
        <v>0.43117881390198642</v>
      </c>
      <c r="K22" s="89">
        <f t="shared" ca="1" si="10"/>
        <v>4.4921528783297871E-7</v>
      </c>
      <c r="L22" s="84">
        <f t="shared" ca="1" si="5"/>
        <v>0</v>
      </c>
      <c r="M22" s="88">
        <v>18</v>
      </c>
      <c r="N22" s="7">
        <f t="shared" ca="1" si="6"/>
        <v>0.8131590984724546</v>
      </c>
      <c r="O22" s="89">
        <f t="shared" ca="1" si="11"/>
        <v>3.1475422444022529E-9</v>
      </c>
      <c r="P22" s="84">
        <f t="shared" ca="1" si="7"/>
        <v>0</v>
      </c>
    </row>
    <row r="23" spans="1:16" ht="25.5" x14ac:dyDescent="0.35">
      <c r="A23" s="88">
        <v>19</v>
      </c>
      <c r="B23" s="7">
        <f t="shared" ca="1" si="0"/>
        <v>0.46457054626630956</v>
      </c>
      <c r="C23" s="89">
        <f t="shared" ca="1" si="12"/>
        <v>7.61478182165731E-10</v>
      </c>
      <c r="D23" s="84">
        <f t="shared" ca="1" si="1"/>
        <v>0</v>
      </c>
      <c r="E23" s="88">
        <v>19</v>
      </c>
      <c r="F23" s="7">
        <f t="shared" ca="1" si="2"/>
        <v>0.24286919278858854</v>
      </c>
      <c r="G23" s="89">
        <f t="shared" ca="1" si="9"/>
        <v>4.1041904044569656E-7</v>
      </c>
      <c r="H23" s="84">
        <f t="shared" ca="1" si="3"/>
        <v>0</v>
      </c>
      <c r="I23" s="88">
        <v>19</v>
      </c>
      <c r="J23" s="7">
        <f t="shared" ca="1" si="4"/>
        <v>0.99679674041370969</v>
      </c>
      <c r="K23" s="89">
        <f t="shared" ca="1" si="10"/>
        <v>4.4777633465591954E-7</v>
      </c>
      <c r="L23" s="84">
        <f t="shared" ca="1" si="5"/>
        <v>0</v>
      </c>
      <c r="M23" s="88">
        <v>19</v>
      </c>
      <c r="N23" s="7">
        <f t="shared" ca="1" si="6"/>
        <v>0.59256467713861505</v>
      </c>
      <c r="O23" s="89">
        <f t="shared" ca="1" si="11"/>
        <v>1.8651223538343728E-9</v>
      </c>
      <c r="P23" s="84">
        <f t="shared" ca="1" si="7"/>
        <v>0</v>
      </c>
    </row>
    <row r="24" spans="1:16" ht="26.25" thickBot="1" x14ac:dyDescent="0.4">
      <c r="A24" s="90">
        <v>20</v>
      </c>
      <c r="B24" s="91">
        <f t="shared" ca="1" si="0"/>
        <v>1.9505083201958984E-2</v>
      </c>
      <c r="C24" s="92">
        <f t="shared" ca="1" si="12"/>
        <v>1.4852695299619062E-11</v>
      </c>
      <c r="D24" s="84">
        <f t="shared" ca="1" si="1"/>
        <v>0</v>
      </c>
      <c r="E24" s="90">
        <v>20</v>
      </c>
      <c r="F24" s="91">
        <f t="shared" ca="1" si="2"/>
        <v>9.7400989599505938E-2</v>
      </c>
      <c r="G24" s="92">
        <f t="shared" ca="1" si="9"/>
        <v>3.9975220689890498E-8</v>
      </c>
      <c r="H24" s="84">
        <f t="shared" ca="1" si="3"/>
        <v>0</v>
      </c>
      <c r="I24" s="90">
        <v>20</v>
      </c>
      <c r="J24" s="91">
        <f t="shared" ca="1" si="4"/>
        <v>0.84056043390136992</v>
      </c>
      <c r="K24" s="92">
        <f t="shared" ca="1" si="10"/>
        <v>3.7638307014914477E-7</v>
      </c>
      <c r="L24" s="84">
        <f t="shared" ca="1" si="5"/>
        <v>0</v>
      </c>
      <c r="M24" s="90">
        <v>20</v>
      </c>
      <c r="N24" s="91">
        <f t="shared" ca="1" si="6"/>
        <v>0.77856951389397244</v>
      </c>
      <c r="O24" s="92">
        <f t="shared" ca="1" si="11"/>
        <v>1.4521274043776092E-9</v>
      </c>
      <c r="P24" s="84">
        <f t="shared" ca="1" si="7"/>
        <v>0</v>
      </c>
    </row>
    <row r="25" spans="1:16" ht="15.75" thickBot="1" x14ac:dyDescent="0.3"/>
    <row r="26" spans="1:16" ht="26.25" thickBot="1" x14ac:dyDescent="0.4">
      <c r="B26" s="93"/>
      <c r="C26" s="83" t="s">
        <v>46</v>
      </c>
      <c r="D26" s="94">
        <f ca="1">SUM(D4:D24)</f>
        <v>7</v>
      </c>
      <c r="F26" s="82"/>
      <c r="G26" s="83" t="s">
        <v>46</v>
      </c>
      <c r="H26" s="94">
        <f ca="1">SUM(H4:H24)</f>
        <v>12</v>
      </c>
      <c r="J26" s="93"/>
      <c r="K26" s="83" t="s">
        <v>46</v>
      </c>
      <c r="L26" s="94">
        <f ca="1">SUM(L4:L24)</f>
        <v>13</v>
      </c>
      <c r="N26" s="93"/>
      <c r="O26" s="83" t="s">
        <v>46</v>
      </c>
      <c r="P26" s="94">
        <f ca="1">SUM(P4:P24)</f>
        <v>12</v>
      </c>
    </row>
    <row r="30" spans="1:16" ht="25.5" x14ac:dyDescent="0.35">
      <c r="A30" s="48" t="s">
        <v>53</v>
      </c>
      <c r="C30" s="82"/>
      <c r="D30" s="82" t="s">
        <v>54</v>
      </c>
      <c r="E30" s="106">
        <f ca="1">AVERAGE(D26:P26)</f>
        <v>11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zoomScale="90" zoomScaleNormal="90" workbookViewId="0">
      <selection activeCell="F2" sqref="F2"/>
    </sheetView>
  </sheetViews>
  <sheetFormatPr defaultRowHeight="15" x14ac:dyDescent="0.25"/>
  <cols>
    <col min="1" max="1" width="13.7109375" customWidth="1"/>
    <col min="2" max="3" width="19.42578125" bestFit="1" customWidth="1"/>
    <col min="5" max="5" width="27.28515625" bestFit="1" customWidth="1"/>
    <col min="12" max="12" width="16" customWidth="1"/>
    <col min="13" max="13" width="14.140625" bestFit="1" customWidth="1"/>
  </cols>
  <sheetData>
    <row r="1" spans="1:13" ht="69.75" customHeight="1" x14ac:dyDescent="0.25">
      <c r="A1" s="9" t="s">
        <v>14</v>
      </c>
      <c r="B1" s="7" t="s">
        <v>2</v>
      </c>
      <c r="C1" s="8" t="s">
        <v>6</v>
      </c>
      <c r="E1" s="15" t="s">
        <v>15</v>
      </c>
      <c r="F1" s="11">
        <v>0.6</v>
      </c>
      <c r="L1" s="17"/>
      <c r="M1" s="18"/>
    </row>
    <row r="2" spans="1:13" ht="36" x14ac:dyDescent="0.45">
      <c r="A2" s="7">
        <v>1</v>
      </c>
      <c r="B2" s="7">
        <f>SUM($C$2:C2)</f>
        <v>0.6</v>
      </c>
      <c r="C2" s="7">
        <f>$F$1*(1-$F$1)^(A2-1)</f>
        <v>0.6</v>
      </c>
      <c r="E2" s="16" t="s">
        <v>16</v>
      </c>
      <c r="F2" s="12"/>
      <c r="L2" s="19"/>
      <c r="M2" s="19"/>
    </row>
    <row r="3" spans="1:13" ht="20.25" x14ac:dyDescent="0.3">
      <c r="A3" s="7">
        <v>2</v>
      </c>
      <c r="B3" s="7">
        <f>SUM($C$2:C3)</f>
        <v>0.84</v>
      </c>
      <c r="C3" s="7">
        <f t="shared" ref="C3:C21" si="0">$F$1*(1-$F$1)^(A3-1)</f>
        <v>0.24</v>
      </c>
      <c r="L3" s="19"/>
      <c r="M3" s="19"/>
    </row>
    <row r="4" spans="1:13" ht="20.25" x14ac:dyDescent="0.3">
      <c r="A4" s="7">
        <v>3</v>
      </c>
      <c r="B4" s="7">
        <f>SUM($C$2:C4)</f>
        <v>0.93599999999999994</v>
      </c>
      <c r="C4" s="7">
        <f t="shared" si="0"/>
        <v>9.6000000000000016E-2</v>
      </c>
      <c r="L4" s="19"/>
      <c r="M4" s="19"/>
    </row>
    <row r="5" spans="1:13" ht="20.25" x14ac:dyDescent="0.3">
      <c r="A5" s="7">
        <v>4</v>
      </c>
      <c r="B5" s="7">
        <f>SUM($C$2:C5)</f>
        <v>0.97439999999999993</v>
      </c>
      <c r="C5" s="7">
        <f t="shared" si="0"/>
        <v>3.8400000000000011E-2</v>
      </c>
      <c r="L5" s="19"/>
      <c r="M5" s="19"/>
    </row>
    <row r="6" spans="1:13" ht="20.25" x14ac:dyDescent="0.3">
      <c r="A6" s="7">
        <v>5</v>
      </c>
      <c r="B6" s="7">
        <f>SUM($C$2:C6)</f>
        <v>0.98975999999999997</v>
      </c>
      <c r="C6" s="7">
        <f t="shared" si="0"/>
        <v>1.5360000000000006E-2</v>
      </c>
      <c r="L6" s="19"/>
      <c r="M6" s="19"/>
    </row>
    <row r="7" spans="1:13" ht="20.25" x14ac:dyDescent="0.3">
      <c r="A7" s="7">
        <v>6</v>
      </c>
      <c r="B7" s="7">
        <f>SUM($C$2:C7)</f>
        <v>0.99590400000000001</v>
      </c>
      <c r="C7" s="7">
        <f t="shared" si="0"/>
        <v>6.1440000000000036E-3</v>
      </c>
      <c r="L7" s="19"/>
      <c r="M7" s="19"/>
    </row>
    <row r="8" spans="1:13" ht="20.25" x14ac:dyDescent="0.3">
      <c r="A8" s="7">
        <v>7</v>
      </c>
      <c r="B8" s="7">
        <f>SUM($C$2:C8)</f>
        <v>0.99836159999999996</v>
      </c>
      <c r="C8" s="7">
        <f t="shared" si="0"/>
        <v>2.4576000000000012E-3</v>
      </c>
      <c r="L8" s="19"/>
      <c r="M8" s="19"/>
    </row>
    <row r="9" spans="1:13" ht="20.25" x14ac:dyDescent="0.3">
      <c r="A9" s="7">
        <v>8</v>
      </c>
      <c r="B9" s="7">
        <f>SUM($C$2:C9)</f>
        <v>0.99934464000000001</v>
      </c>
      <c r="C9" s="7">
        <f t="shared" si="0"/>
        <v>9.8304000000000078E-4</v>
      </c>
      <c r="L9" s="19"/>
      <c r="M9" s="19"/>
    </row>
    <row r="10" spans="1:13" ht="20.25" x14ac:dyDescent="0.3">
      <c r="A10" s="7">
        <v>9</v>
      </c>
      <c r="B10" s="7">
        <f>SUM($C$2:C10)</f>
        <v>0.99973785599999998</v>
      </c>
      <c r="C10" s="7">
        <f t="shared" si="0"/>
        <v>3.9321600000000032E-4</v>
      </c>
      <c r="L10" s="19"/>
      <c r="M10" s="19"/>
    </row>
    <row r="11" spans="1:13" ht="20.25" x14ac:dyDescent="0.3">
      <c r="A11" s="7">
        <v>10</v>
      </c>
      <c r="B11" s="7">
        <f>SUM($C$2:C11)</f>
        <v>0.99989514239999999</v>
      </c>
      <c r="C11" s="7">
        <f t="shared" si="0"/>
        <v>1.5728640000000013E-4</v>
      </c>
      <c r="L11" s="19"/>
      <c r="M11" s="19"/>
    </row>
    <row r="12" spans="1:13" ht="20.25" x14ac:dyDescent="0.3">
      <c r="A12" s="7">
        <v>11</v>
      </c>
      <c r="B12" s="7">
        <f>SUM($C$2:C12)</f>
        <v>0.99995805695999995</v>
      </c>
      <c r="C12" s="7">
        <f t="shared" si="0"/>
        <v>6.2914560000000067E-5</v>
      </c>
      <c r="L12" s="19"/>
      <c r="M12" s="19"/>
    </row>
    <row r="13" spans="1:13" ht="20.25" x14ac:dyDescent="0.3">
      <c r="A13" s="7">
        <v>12</v>
      </c>
      <c r="B13" s="7">
        <f>SUM($C$2:C13)</f>
        <v>0.99998322278399998</v>
      </c>
      <c r="C13" s="7">
        <f t="shared" si="0"/>
        <v>2.5165824000000025E-5</v>
      </c>
      <c r="L13" s="19"/>
      <c r="M13" s="19"/>
    </row>
    <row r="14" spans="1:13" ht="20.25" x14ac:dyDescent="0.3">
      <c r="A14" s="7">
        <v>13</v>
      </c>
      <c r="B14" s="7">
        <f>SUM($C$2:C14)</f>
        <v>0.99999328911359997</v>
      </c>
      <c r="C14" s="7">
        <f t="shared" si="0"/>
        <v>1.0066329600000013E-5</v>
      </c>
      <c r="L14" s="19"/>
      <c r="M14" s="19"/>
    </row>
    <row r="15" spans="1:13" ht="20.25" x14ac:dyDescent="0.3">
      <c r="A15" s="7">
        <v>14</v>
      </c>
      <c r="B15" s="7">
        <f>SUM($C$2:C15)</f>
        <v>0.99999731564543992</v>
      </c>
      <c r="C15" s="7">
        <f t="shared" si="0"/>
        <v>4.0265318400000057E-6</v>
      </c>
      <c r="L15" s="19"/>
      <c r="M15" s="19"/>
    </row>
    <row r="16" spans="1:13" ht="20.25" x14ac:dyDescent="0.3">
      <c r="A16" s="7">
        <v>15</v>
      </c>
      <c r="B16" s="7">
        <f>SUM($C$2:C16)</f>
        <v>0.99999892625817588</v>
      </c>
      <c r="C16" s="7">
        <f t="shared" si="0"/>
        <v>1.6106127360000022E-6</v>
      </c>
      <c r="L16" s="19"/>
      <c r="M16" s="19"/>
    </row>
    <row r="17" spans="1:13" ht="20.25" x14ac:dyDescent="0.3">
      <c r="A17" s="7">
        <v>16</v>
      </c>
      <c r="B17" s="7">
        <f>SUM($C$2:C17)</f>
        <v>0.99999957050327026</v>
      </c>
      <c r="C17" s="7">
        <f t="shared" si="0"/>
        <v>6.4424509440000105E-7</v>
      </c>
      <c r="L17" s="19"/>
      <c r="M17" s="19"/>
    </row>
    <row r="18" spans="1:13" ht="20.25" x14ac:dyDescent="0.3">
      <c r="A18" s="7">
        <v>17</v>
      </c>
      <c r="B18" s="7">
        <f>SUM($C$2:C18)</f>
        <v>0.99999982820130806</v>
      </c>
      <c r="C18" s="7">
        <f t="shared" si="0"/>
        <v>2.5769803776000043E-7</v>
      </c>
      <c r="L18" s="19"/>
      <c r="M18" s="19"/>
    </row>
    <row r="19" spans="1:13" ht="20.25" x14ac:dyDescent="0.3">
      <c r="A19" s="7">
        <v>18</v>
      </c>
      <c r="B19" s="7">
        <f>SUM($C$2:C19)</f>
        <v>0.99999993128052311</v>
      </c>
      <c r="C19" s="7">
        <f t="shared" si="0"/>
        <v>1.0307921510400018E-7</v>
      </c>
      <c r="L19" s="19"/>
      <c r="M19" s="19"/>
    </row>
    <row r="20" spans="1:13" ht="20.25" x14ac:dyDescent="0.3">
      <c r="A20" s="7">
        <v>19</v>
      </c>
      <c r="B20" s="7">
        <f>SUM($C$2:C20)</f>
        <v>0.99999997251220918</v>
      </c>
      <c r="C20" s="7">
        <f t="shared" si="0"/>
        <v>4.1231686041600072E-8</v>
      </c>
      <c r="L20" s="19"/>
      <c r="M20" s="19"/>
    </row>
    <row r="21" spans="1:13" ht="20.25" x14ac:dyDescent="0.3">
      <c r="A21" s="7">
        <v>20</v>
      </c>
      <c r="B21" s="7">
        <f>SUM($C$2:C21)</f>
        <v>0.99999998900488363</v>
      </c>
      <c r="C21" s="7">
        <f t="shared" si="0"/>
        <v>1.6492674416640031E-8</v>
      </c>
      <c r="L21" s="19"/>
      <c r="M21" s="1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5"/>
  <sheetViews>
    <sheetView workbookViewId="0">
      <selection activeCell="A25" sqref="A25"/>
    </sheetView>
  </sheetViews>
  <sheetFormatPr defaultRowHeight="15" x14ac:dyDescent="0.25"/>
  <cols>
    <col min="1" max="1" width="51.7109375" customWidth="1"/>
    <col min="2" max="2" width="20.5703125" customWidth="1"/>
    <col min="3" max="4" width="12.42578125" customWidth="1"/>
    <col min="5" max="5" width="12.140625" customWidth="1"/>
    <col min="6" max="6" width="11.85546875" customWidth="1"/>
    <col min="7" max="7" width="15.28515625" customWidth="1"/>
    <col min="8" max="8" width="16.28515625" customWidth="1"/>
  </cols>
  <sheetData>
    <row r="1" spans="1:10" ht="24" customHeight="1" x14ac:dyDescent="0.3">
      <c r="A1" s="20" t="s">
        <v>23</v>
      </c>
      <c r="B1" s="21">
        <v>45</v>
      </c>
    </row>
    <row r="2" spans="1:10" ht="24.75" customHeight="1" x14ac:dyDescent="0.3">
      <c r="A2" s="23" t="s">
        <v>24</v>
      </c>
      <c r="B2" s="24">
        <v>6</v>
      </c>
    </row>
    <row r="3" spans="1:10" ht="21.75" customHeight="1" x14ac:dyDescent="0.4">
      <c r="A3" s="23" t="s">
        <v>25</v>
      </c>
      <c r="B3" s="25">
        <v>6</v>
      </c>
    </row>
    <row r="4" spans="1:10" ht="24" customHeight="1" x14ac:dyDescent="0.4">
      <c r="A4" s="26" t="s">
        <v>26</v>
      </c>
      <c r="B4" s="27">
        <v>0</v>
      </c>
      <c r="C4" s="27">
        <v>1</v>
      </c>
      <c r="D4" s="27">
        <v>2</v>
      </c>
      <c r="E4" s="27">
        <v>3</v>
      </c>
      <c r="F4" s="27">
        <v>4</v>
      </c>
      <c r="G4" s="27">
        <v>5</v>
      </c>
      <c r="H4" s="27">
        <v>6</v>
      </c>
      <c r="I4" s="39"/>
      <c r="J4" s="37"/>
    </row>
    <row r="5" spans="1:10" ht="19.5" customHeight="1" x14ac:dyDescent="0.25">
      <c r="I5" s="40"/>
      <c r="J5" s="37"/>
    </row>
    <row r="6" spans="1:10" ht="42" x14ac:dyDescent="0.35">
      <c r="A6" s="28" t="s">
        <v>18</v>
      </c>
      <c r="B6" s="29">
        <f>FACT($B$1)/(FACT($B$2)*FACT($B$1-$B$2))</f>
        <v>8145060</v>
      </c>
      <c r="C6" s="29">
        <f t="shared" ref="C6:H6" si="0">FACT($B$1)/(FACT($B$2)*FACT($B$1-$B$2))</f>
        <v>8145060</v>
      </c>
      <c r="D6" s="29">
        <f t="shared" si="0"/>
        <v>8145060</v>
      </c>
      <c r="E6" s="29">
        <f t="shared" si="0"/>
        <v>8145060</v>
      </c>
      <c r="F6" s="29">
        <f t="shared" si="0"/>
        <v>8145060</v>
      </c>
      <c r="G6" s="36">
        <f t="shared" si="0"/>
        <v>8145060</v>
      </c>
      <c r="H6" s="38">
        <f t="shared" si="0"/>
        <v>8145060</v>
      </c>
      <c r="I6" s="39"/>
      <c r="J6" s="37"/>
    </row>
    <row r="7" spans="1:10" ht="38.25" customHeight="1" x14ac:dyDescent="0.35">
      <c r="A7" s="30" t="s">
        <v>19</v>
      </c>
      <c r="B7" s="29">
        <f>FACT($B$3)/(FACT(B4)*FACT($B$3-B4))</f>
        <v>1</v>
      </c>
      <c r="C7" s="29">
        <f t="shared" ref="C7:H7" si="1">FACT($B$3)/(FACT(C4)*FACT($B$3-C4))</f>
        <v>6</v>
      </c>
      <c r="D7" s="29">
        <f t="shared" si="1"/>
        <v>15</v>
      </c>
      <c r="E7" s="29">
        <f t="shared" si="1"/>
        <v>20</v>
      </c>
      <c r="F7" s="29">
        <f t="shared" si="1"/>
        <v>15</v>
      </c>
      <c r="G7" s="36">
        <f t="shared" si="1"/>
        <v>6</v>
      </c>
      <c r="H7" s="38">
        <f t="shared" si="1"/>
        <v>1</v>
      </c>
      <c r="I7" s="39"/>
      <c r="J7" s="37"/>
    </row>
    <row r="8" spans="1:10" ht="42" x14ac:dyDescent="0.35">
      <c r="A8" s="31" t="s">
        <v>20</v>
      </c>
      <c r="B8" s="29">
        <f>FACT($B$1-$B$3)/(FACT($B$2-B4)*FACT($B$1-$B$3-$B$2+B4))</f>
        <v>3262622.9999999991</v>
      </c>
      <c r="C8" s="29">
        <f t="shared" ref="C8:H8" si="2">FACT($B$1-$B$3)/(FACT($B$2-C4)*FACT($B$1-$B$3-$B$2+C4))</f>
        <v>575757.00000000023</v>
      </c>
      <c r="D8" s="29">
        <f t="shared" si="2"/>
        <v>82251.000000000029</v>
      </c>
      <c r="E8" s="29">
        <f t="shared" si="2"/>
        <v>9138.9999999999982</v>
      </c>
      <c r="F8" s="29">
        <f t="shared" si="2"/>
        <v>741.00000000000011</v>
      </c>
      <c r="G8" s="36">
        <f t="shared" si="2"/>
        <v>39.000000000000014</v>
      </c>
      <c r="H8" s="38">
        <f t="shared" si="2"/>
        <v>1</v>
      </c>
      <c r="I8" s="39"/>
      <c r="J8" s="37"/>
    </row>
    <row r="9" spans="1:10" ht="29.25" thickBot="1" x14ac:dyDescent="0.5">
      <c r="A9" s="32" t="s">
        <v>21</v>
      </c>
      <c r="B9" s="42">
        <f>B7*B8/B6</f>
        <v>0.40056463672459125</v>
      </c>
      <c r="C9" s="42">
        <f t="shared" ref="C9:H9" si="3">C7*C8/C6</f>
        <v>0.42412726241427334</v>
      </c>
      <c r="D9" s="42">
        <f t="shared" si="3"/>
        <v>0.15147402229081192</v>
      </c>
      <c r="E9" s="42">
        <f t="shared" si="3"/>
        <v>2.2440595894935085E-2</v>
      </c>
      <c r="F9" s="42">
        <f t="shared" si="3"/>
        <v>1.3646308314487557E-3</v>
      </c>
      <c r="G9" s="43">
        <f t="shared" si="3"/>
        <v>2.8729070135763281E-5</v>
      </c>
      <c r="H9" s="44">
        <f t="shared" si="3"/>
        <v>1.2277380399898834E-7</v>
      </c>
      <c r="I9" s="41"/>
      <c r="J9" s="37"/>
    </row>
    <row r="10" spans="1:10" ht="25.5" x14ac:dyDescent="0.35">
      <c r="A10" s="46" t="s">
        <v>27</v>
      </c>
      <c r="B10" s="45">
        <f>_xlfn.HYPGEOM.DIST(B4,$B$2,$B$3,$B$1,0)</f>
        <v>0.40056463672459136</v>
      </c>
      <c r="C10" s="45">
        <f t="shared" ref="C10:H10" si="4">_xlfn.HYPGEOM.DIST(C4,$B$2,$B$3,$B$1,0)</f>
        <v>0.42412726241427318</v>
      </c>
      <c r="D10" s="45">
        <f t="shared" si="4"/>
        <v>0.15147402229081183</v>
      </c>
      <c r="E10" s="45">
        <f t="shared" si="4"/>
        <v>2.244059589493513E-2</v>
      </c>
      <c r="F10" s="45">
        <f t="shared" si="4"/>
        <v>1.3646308314487566E-3</v>
      </c>
      <c r="G10" s="45">
        <f t="shared" si="4"/>
        <v>2.8729070135763278E-5</v>
      </c>
      <c r="H10" s="45">
        <f t="shared" si="4"/>
        <v>1.2277380399898855E-7</v>
      </c>
    </row>
    <row r="11" spans="1:10" ht="23.25" x14ac:dyDescent="0.35">
      <c r="A11" s="47" t="s">
        <v>28</v>
      </c>
      <c r="B11" s="45">
        <f>_xlfn.HYPGEOM.DIST(B4,$B$2,$B$3,$B$1,1)</f>
        <v>0.40056463672459136</v>
      </c>
      <c r="C11" s="45">
        <f t="shared" ref="C11:H11" si="5">_xlfn.HYPGEOM.DIST(C4,$B$2,$B$3,$B$1,1)</f>
        <v>0.82469189913886454</v>
      </c>
      <c r="D11" s="45">
        <f t="shared" si="5"/>
        <v>0.9761659214296764</v>
      </c>
      <c r="E11" s="45">
        <f t="shared" si="5"/>
        <v>0.99860651732461148</v>
      </c>
      <c r="F11" s="45">
        <f t="shared" si="5"/>
        <v>0.99997114815606025</v>
      </c>
      <c r="G11" s="45">
        <f t="shared" si="5"/>
        <v>0.99999987722619599</v>
      </c>
      <c r="H11" s="45">
        <f t="shared" si="5"/>
        <v>1</v>
      </c>
    </row>
    <row r="13" spans="1:10" ht="20.25" x14ac:dyDescent="0.35">
      <c r="A13" s="33" t="s">
        <v>22</v>
      </c>
      <c r="B13" s="33">
        <f>SUM(E9:H9)</f>
        <v>2.3834078570323602E-2</v>
      </c>
    </row>
    <row r="14" spans="1:10" ht="18.75" x14ac:dyDescent="0.3">
      <c r="A14" s="34" t="s">
        <v>17</v>
      </c>
      <c r="B14" s="34">
        <f>B2*B3/B1</f>
        <v>0.8</v>
      </c>
    </row>
    <row r="15" spans="1:10" ht="18.75" x14ac:dyDescent="0.3">
      <c r="A15" s="22"/>
      <c r="B15" s="35">
        <f>B2*B3/(B1-1)*(1-B3/B1)*(1-B2/B1)</f>
        <v>0.61454545454545462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8195" r:id="rId3">
          <objectPr defaultSize="0" autoPict="0" r:id="rId4">
            <anchor moveWithCells="1">
              <from>
                <xdr:col>0</xdr:col>
                <xdr:colOff>19050</xdr:colOff>
                <xdr:row>14</xdr:row>
                <xdr:rowOff>76200</xdr:rowOff>
              </from>
              <to>
                <xdr:col>0</xdr:col>
                <xdr:colOff>3095625</xdr:colOff>
                <xdr:row>16</xdr:row>
                <xdr:rowOff>9525</xdr:rowOff>
              </to>
            </anchor>
          </objectPr>
        </oleObject>
      </mc:Choice>
      <mc:Fallback>
        <oleObject progId="Equation.3" shapeId="8195" r:id="rId3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нормальный</vt:lpstr>
      <vt:lpstr>равномерный</vt:lpstr>
      <vt:lpstr>экспоненциальный</vt:lpstr>
      <vt:lpstr>экспоненциальный (2)</vt:lpstr>
      <vt:lpstr>биномиальный</vt:lpstr>
      <vt:lpstr>биномиальный (2)</vt:lpstr>
      <vt:lpstr>Пуассон</vt:lpstr>
      <vt:lpstr>Пуассон (2)</vt:lpstr>
      <vt:lpstr>геометрическое</vt:lpstr>
      <vt:lpstr>гипер_геометрическое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2020-01-11T08:59:05Z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38aa2228-c344-4c64-a0ce-b8841b7d944f</vt:lpwstr>
  </property>
</Properties>
</file>