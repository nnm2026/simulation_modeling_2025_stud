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5" yWindow="-15" windowWidth="10635" windowHeight="12000" firstSheet="8" activeTab="12"/>
  </bookViews>
  <sheets>
    <sheet name="Лист1" sheetId="1" r:id="rId1"/>
    <sheet name="Лист1 (3)" sheetId="16" r:id="rId2"/>
    <sheet name="Лист1 (2)" sheetId="4" r:id="rId3"/>
    <sheet name="_2_канала" sheetId="5" r:id="rId4"/>
    <sheet name="огр_вр_ожид" sheetId="6" r:id="rId5"/>
    <sheet name="СМО_очередь" sheetId="7" r:id="rId6"/>
    <sheet name="СМО_групп_обсл" sheetId="8" r:id="rId7"/>
    <sheet name="ЗУЗ_1" sheetId="9" r:id="rId8"/>
    <sheet name="ЗУЗ_1 (2)" sheetId="10" r:id="rId9"/>
    <sheet name="ЗУЗ_ПоискРеш" sheetId="12" r:id="rId10"/>
    <sheet name="ЗУЗ_произв_сист" sheetId="11" r:id="rId11"/>
    <sheet name="ЗУЗ_период_подача" sheetId="13" r:id="rId12"/>
    <sheet name="ЗУЗ_пороговая_подача" sheetId="14" r:id="rId13"/>
  </sheets>
  <definedNames>
    <definedName name="solver_adj" localSheetId="9" hidden="1">ЗУЗ_ПоискРеш!$D$5</definedName>
    <definedName name="solver_cvg" localSheetId="9" hidden="1">0.0001</definedName>
    <definedName name="solver_drv" localSheetId="9" hidden="1">1</definedName>
    <definedName name="solver_eng" localSheetId="9" hidden="1">1</definedName>
    <definedName name="solver_est" localSheetId="9" hidden="1">1</definedName>
    <definedName name="solver_itr" localSheetId="9" hidden="1">2147483647</definedName>
    <definedName name="solver_lhs1" localSheetId="9" hidden="1">ЗУЗ_ПоискРеш!$D$5</definedName>
    <definedName name="solver_mip" localSheetId="9" hidden="1">2147483647</definedName>
    <definedName name="solver_mni" localSheetId="9" hidden="1">30</definedName>
    <definedName name="solver_mrt" localSheetId="9" hidden="1">0.075</definedName>
    <definedName name="solver_msl" localSheetId="9" hidden="1">2</definedName>
    <definedName name="solver_neg" localSheetId="9" hidden="1">1</definedName>
    <definedName name="solver_nod" localSheetId="9" hidden="1">2147483647</definedName>
    <definedName name="solver_num" localSheetId="9" hidden="1">1</definedName>
    <definedName name="solver_nwt" localSheetId="9" hidden="1">1</definedName>
    <definedName name="solver_opt" localSheetId="9" hidden="1">ЗУЗ_ПоискРеш!$D$28</definedName>
    <definedName name="solver_pre" localSheetId="9" hidden="1">0.000001</definedName>
    <definedName name="solver_rbv" localSheetId="9" hidden="1">1</definedName>
    <definedName name="solver_rel1" localSheetId="9" hidden="1">4</definedName>
    <definedName name="solver_rhs1" localSheetId="9" hidden="1">целое</definedName>
    <definedName name="solver_rlx" localSheetId="9" hidden="1">2</definedName>
    <definedName name="solver_rsd" localSheetId="9" hidden="1">0</definedName>
    <definedName name="solver_scl" localSheetId="9" hidden="1">1</definedName>
    <definedName name="solver_sho" localSheetId="9" hidden="1">2</definedName>
    <definedName name="solver_ssz" localSheetId="9" hidden="1">100</definedName>
    <definedName name="solver_tim" localSheetId="9" hidden="1">2147483647</definedName>
    <definedName name="solver_tol" localSheetId="9" hidden="1">0.01</definedName>
    <definedName name="solver_typ" localSheetId="9" hidden="1">2</definedName>
    <definedName name="solver_val" localSheetId="9" hidden="1">0</definedName>
    <definedName name="solver_ver" localSheetId="9" hidden="1">3</definedName>
  </definedNames>
  <calcPr calcId="145621"/>
  <fileRecoveryPr repairLoad="1"/>
</workbook>
</file>

<file path=xl/calcChain.xml><?xml version="1.0" encoding="utf-8"?>
<calcChain xmlns="http://schemas.openxmlformats.org/spreadsheetml/2006/main">
  <c r="F2" i="16" l="1"/>
  <c r="E16" i="16"/>
  <c r="D16" i="16"/>
  <c r="D7" i="16" l="1"/>
  <c r="D8" i="16"/>
  <c r="D9" i="16"/>
  <c r="D10" i="16"/>
  <c r="D11" i="16"/>
  <c r="D12" i="16"/>
  <c r="D13" i="16"/>
  <c r="D14" i="16"/>
  <c r="D15" i="16"/>
  <c r="E7" i="16"/>
  <c r="E8" i="16"/>
  <c r="E9" i="16"/>
  <c r="E10" i="16"/>
  <c r="E11" i="16"/>
  <c r="E12" i="16"/>
  <c r="E13" i="16"/>
  <c r="E14" i="16"/>
  <c r="E15" i="16"/>
  <c r="C15" i="14"/>
  <c r="D15" i="14" s="1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C15" i="13"/>
  <c r="D15" i="13" s="1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15" i="13"/>
  <c r="C12" i="11"/>
  <c r="C13" i="11"/>
  <c r="C14" i="11"/>
  <c r="C25" i="12"/>
  <c r="D25" i="12" s="1"/>
  <c r="C24" i="12"/>
  <c r="D24" i="12" s="1"/>
  <c r="C23" i="12"/>
  <c r="D23" i="12" s="1"/>
  <c r="C22" i="12"/>
  <c r="D22" i="12" s="1"/>
  <c r="C21" i="12"/>
  <c r="D21" i="12" s="1"/>
  <c r="C20" i="12"/>
  <c r="D20" i="12" s="1"/>
  <c r="C19" i="12"/>
  <c r="D19" i="12" s="1"/>
  <c r="C18" i="12"/>
  <c r="D18" i="12" s="1"/>
  <c r="C17" i="12"/>
  <c r="D17" i="12" s="1"/>
  <c r="C16" i="12"/>
  <c r="D16" i="12" s="1"/>
  <c r="C15" i="12"/>
  <c r="D15" i="12" s="1"/>
  <c r="C14" i="12"/>
  <c r="D14" i="12" s="1"/>
  <c r="C13" i="12"/>
  <c r="D13" i="12" s="1"/>
  <c r="C12" i="12"/>
  <c r="D12" i="12" s="1"/>
  <c r="C11" i="12"/>
  <c r="D11" i="12" s="1"/>
  <c r="C26" i="11"/>
  <c r="C25" i="11"/>
  <c r="C24" i="11"/>
  <c r="C23" i="11"/>
  <c r="C22" i="11"/>
  <c r="C21" i="11"/>
  <c r="C20" i="11"/>
  <c r="C19" i="11"/>
  <c r="C18" i="11"/>
  <c r="C17" i="11"/>
  <c r="C16" i="11"/>
  <c r="C15" i="11"/>
  <c r="F7" i="16" l="1"/>
  <c r="C8" i="16" s="1"/>
  <c r="F8" i="16" s="1"/>
  <c r="C23" i="16"/>
  <c r="F15" i="13"/>
  <c r="C16" i="13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G15" i="14"/>
  <c r="F15" i="14"/>
  <c r="C16" i="14" s="1"/>
  <c r="G15" i="13"/>
  <c r="D29" i="12"/>
  <c r="D28" i="12"/>
  <c r="C25" i="10"/>
  <c r="D25" i="10" s="1"/>
  <c r="C24" i="10"/>
  <c r="D24" i="10" s="1"/>
  <c r="C23" i="10"/>
  <c r="D23" i="10" s="1"/>
  <c r="C22" i="10"/>
  <c r="D22" i="10" s="1"/>
  <c r="C21" i="10"/>
  <c r="D21" i="10" s="1"/>
  <c r="C20" i="10"/>
  <c r="D20" i="10" s="1"/>
  <c r="C19" i="10"/>
  <c r="D19" i="10" s="1"/>
  <c r="C18" i="10"/>
  <c r="D18" i="10" s="1"/>
  <c r="C17" i="10"/>
  <c r="D17" i="10" s="1"/>
  <c r="C16" i="10"/>
  <c r="D16" i="10" s="1"/>
  <c r="C15" i="10"/>
  <c r="D15" i="10" s="1"/>
  <c r="C14" i="10"/>
  <c r="D14" i="10" s="1"/>
  <c r="C13" i="10"/>
  <c r="D13" i="10" s="1"/>
  <c r="C12" i="10"/>
  <c r="D12" i="10" s="1"/>
  <c r="C11" i="10"/>
  <c r="D11" i="10" s="1"/>
  <c r="C9" i="16" l="1"/>
  <c r="D16" i="13"/>
  <c r="G16" i="13" s="1"/>
  <c r="D29" i="10"/>
  <c r="D28" i="10"/>
  <c r="G4" i="10" s="1"/>
  <c r="C12" i="9"/>
  <c r="D12" i="9" s="1"/>
  <c r="C13" i="9"/>
  <c r="D13" i="9" s="1"/>
  <c r="C14" i="9"/>
  <c r="D14" i="9" s="1"/>
  <c r="C15" i="9"/>
  <c r="D15" i="9" s="1"/>
  <c r="C16" i="9"/>
  <c r="D16" i="9" s="1"/>
  <c r="C17" i="9"/>
  <c r="D17" i="9" s="1"/>
  <c r="C18" i="9"/>
  <c r="D18" i="9" s="1"/>
  <c r="C19" i="9"/>
  <c r="D19" i="9" s="1"/>
  <c r="C20" i="9"/>
  <c r="D20" i="9" s="1"/>
  <c r="C21" i="9"/>
  <c r="D21" i="9" s="1"/>
  <c r="C22" i="9"/>
  <c r="D22" i="9" s="1"/>
  <c r="C23" i="9"/>
  <c r="D23" i="9" s="1"/>
  <c r="C24" i="9"/>
  <c r="D24" i="9" s="1"/>
  <c r="C25" i="9"/>
  <c r="D25" i="9" s="1"/>
  <c r="C11" i="9"/>
  <c r="D11" i="9" s="1"/>
  <c r="F9" i="16" l="1"/>
  <c r="D16" i="14"/>
  <c r="G16" i="14" s="1"/>
  <c r="F16" i="13"/>
  <c r="D17" i="13" s="1"/>
  <c r="G17" i="13" s="1"/>
  <c r="D29" i="9"/>
  <c r="D28" i="9"/>
  <c r="E10" i="8"/>
  <c r="F10" i="8" s="1"/>
  <c r="C10" i="8"/>
  <c r="C11" i="8" s="1"/>
  <c r="C12" i="8" s="1"/>
  <c r="C13" i="8" s="1"/>
  <c r="C14" i="8" s="1"/>
  <c r="C15" i="8" s="1"/>
  <c r="C16" i="8" s="1"/>
  <c r="C9" i="7"/>
  <c r="C10" i="16" l="1"/>
  <c r="F10" i="16" s="1"/>
  <c r="F16" i="14"/>
  <c r="C17" i="14" s="1"/>
  <c r="F17" i="13"/>
  <c r="D18" i="13" s="1"/>
  <c r="G18" i="13" s="1"/>
  <c r="G10" i="8"/>
  <c r="D11" i="8"/>
  <c r="C11" i="16" l="1"/>
  <c r="F11" i="16" s="1"/>
  <c r="D17" i="14"/>
  <c r="F17" i="14" s="1"/>
  <c r="C18" i="14" s="1"/>
  <c r="F18" i="13"/>
  <c r="D19" i="13" s="1"/>
  <c r="G19" i="13" s="1"/>
  <c r="E11" i="8"/>
  <c r="F11" i="8" s="1"/>
  <c r="D12" i="8"/>
  <c r="D9" i="7"/>
  <c r="E9" i="7" s="1"/>
  <c r="C10" i="7"/>
  <c r="C9" i="6"/>
  <c r="D9" i="6" s="1"/>
  <c r="E9" i="6" s="1"/>
  <c r="C12" i="16" l="1"/>
  <c r="G17" i="14"/>
  <c r="D18" i="14"/>
  <c r="G18" i="14" s="1"/>
  <c r="F19" i="13"/>
  <c r="D20" i="13" s="1"/>
  <c r="G20" i="13" s="1"/>
  <c r="G11" i="8"/>
  <c r="D13" i="8"/>
  <c r="E12" i="8"/>
  <c r="G9" i="7"/>
  <c r="D10" i="7" s="1"/>
  <c r="F9" i="7"/>
  <c r="C11" i="7"/>
  <c r="F9" i="6"/>
  <c r="G9" i="6" s="1"/>
  <c r="H9" i="6" s="1"/>
  <c r="G8" i="5"/>
  <c r="H8" i="5" s="1"/>
  <c r="D8" i="5"/>
  <c r="C8" i="5"/>
  <c r="C9" i="5" s="1"/>
  <c r="C10" i="5" s="1"/>
  <c r="C11" i="5" s="1"/>
  <c r="C12" i="5" s="1"/>
  <c r="C13" i="5" s="1"/>
  <c r="D9" i="5"/>
  <c r="D10" i="5"/>
  <c r="D11" i="5"/>
  <c r="D12" i="5"/>
  <c r="D13" i="5"/>
  <c r="E8" i="4"/>
  <c r="F3" i="1"/>
  <c r="F2" i="1"/>
  <c r="C10" i="4"/>
  <c r="C11" i="4"/>
  <c r="C12" i="4"/>
  <c r="C13" i="4"/>
  <c r="C14" i="4"/>
  <c r="C9" i="4"/>
  <c r="E9" i="4"/>
  <c r="E10" i="4"/>
  <c r="E11" i="4"/>
  <c r="E12" i="4"/>
  <c r="E13" i="4"/>
  <c r="E14" i="4"/>
  <c r="F12" i="16" l="1"/>
  <c r="F18" i="14"/>
  <c r="C19" i="14" s="1"/>
  <c r="F20" i="13"/>
  <c r="D21" i="13" s="1"/>
  <c r="G21" i="13" s="1"/>
  <c r="F12" i="8"/>
  <c r="D14" i="8"/>
  <c r="E13" i="8"/>
  <c r="F13" i="8" s="1"/>
  <c r="E10" i="7"/>
  <c r="F10" i="7" s="1"/>
  <c r="H9" i="7"/>
  <c r="I9" i="7" s="1"/>
  <c r="C12" i="7"/>
  <c r="E8" i="5"/>
  <c r="F8" i="4"/>
  <c r="D8" i="4"/>
  <c r="F9" i="4"/>
  <c r="F11" i="4"/>
  <c r="F12" i="4"/>
  <c r="F13" i="4"/>
  <c r="F14" i="4"/>
  <c r="E7" i="1"/>
  <c r="D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C13" i="16" l="1"/>
  <c r="F13" i="16" s="1"/>
  <c r="D19" i="14"/>
  <c r="G19" i="14" s="1"/>
  <c r="F21" i="13"/>
  <c r="D22" i="13" s="1"/>
  <c r="G22" i="13" s="1"/>
  <c r="D15" i="8"/>
  <c r="E14" i="8"/>
  <c r="F14" i="8" s="1"/>
  <c r="G10" i="7"/>
  <c r="D11" i="7" s="1"/>
  <c r="C13" i="7"/>
  <c r="I8" i="5"/>
  <c r="F8" i="5"/>
  <c r="G9" i="5" s="1"/>
  <c r="H9" i="5" s="1"/>
  <c r="C23" i="1"/>
  <c r="I8" i="4"/>
  <c r="G9" i="4" s="1"/>
  <c r="I9" i="4" s="1"/>
  <c r="D9" i="4"/>
  <c r="D10" i="4" s="1"/>
  <c r="D11" i="4" s="1"/>
  <c r="D12" i="4" s="1"/>
  <c r="D13" i="4" s="1"/>
  <c r="D14" i="4" s="1"/>
  <c r="J9" i="4"/>
  <c r="J10" i="4"/>
  <c r="J11" i="4"/>
  <c r="J14" i="4"/>
  <c r="J12" i="4"/>
  <c r="J13" i="4"/>
  <c r="F10" i="4"/>
  <c r="E19" i="4" s="1"/>
  <c r="F7" i="1"/>
  <c r="C14" i="16" l="1"/>
  <c r="F14" i="16" s="1"/>
  <c r="F19" i="14"/>
  <c r="C20" i="14" s="1"/>
  <c r="F22" i="13"/>
  <c r="D23" i="13" s="1"/>
  <c r="G23" i="13" s="1"/>
  <c r="D16" i="8"/>
  <c r="E15" i="8"/>
  <c r="E11" i="7"/>
  <c r="F11" i="7" s="1"/>
  <c r="H10" i="7"/>
  <c r="I10" i="7" s="1"/>
  <c r="C14" i="7"/>
  <c r="E9" i="5"/>
  <c r="G10" i="4"/>
  <c r="I10" i="4" s="1"/>
  <c r="G11" i="4" s="1"/>
  <c r="I11" i="4" s="1"/>
  <c r="G12" i="4" s="1"/>
  <c r="I12" i="4" s="1"/>
  <c r="G13" i="4" s="1"/>
  <c r="I13" i="4" s="1"/>
  <c r="G14" i="4" s="1"/>
  <c r="C8" i="1"/>
  <c r="C15" i="16" l="1"/>
  <c r="F15" i="16" s="1"/>
  <c r="D20" i="14"/>
  <c r="F20" i="14" s="1"/>
  <c r="C21" i="14" s="1"/>
  <c r="F23" i="13"/>
  <c r="D24" i="13" s="1"/>
  <c r="G24" i="13" s="1"/>
  <c r="E16" i="8"/>
  <c r="F16" i="8" s="1"/>
  <c r="G11" i="7"/>
  <c r="C15" i="7"/>
  <c r="F9" i="5"/>
  <c r="I9" i="5"/>
  <c r="F8" i="1"/>
  <c r="C9" i="1" s="1"/>
  <c r="F9" i="1" s="1"/>
  <c r="C10" i="1" s="1"/>
  <c r="F10" i="1" s="1"/>
  <c r="C11" i="1" s="1"/>
  <c r="F11" i="1" s="1"/>
  <c r="C12" i="1" s="1"/>
  <c r="F12" i="1" s="1"/>
  <c r="C13" i="1" s="1"/>
  <c r="F13" i="1" s="1"/>
  <c r="C14" i="1" s="1"/>
  <c r="F14" i="1" s="1"/>
  <c r="C15" i="1" s="1"/>
  <c r="F15" i="1" s="1"/>
  <c r="C16" i="1" s="1"/>
  <c r="F16" i="1" s="1"/>
  <c r="I14" i="4"/>
  <c r="C16" i="16" l="1"/>
  <c r="C22" i="16" s="1"/>
  <c r="C24" i="16" s="1"/>
  <c r="F23" i="16" s="1"/>
  <c r="G20" i="14"/>
  <c r="D21" i="14"/>
  <c r="F21" i="14" s="1"/>
  <c r="C22" i="14" s="1"/>
  <c r="F24" i="13"/>
  <c r="D25" i="13" s="1"/>
  <c r="G25" i="13" s="1"/>
  <c r="D12" i="7"/>
  <c r="E12" i="7" s="1"/>
  <c r="F12" i="7" s="1"/>
  <c r="H11" i="7"/>
  <c r="I11" i="7" s="1"/>
  <c r="E10" i="5"/>
  <c r="G10" i="5"/>
  <c r="H10" i="5" s="1"/>
  <c r="D18" i="4"/>
  <c r="J19" i="4" s="1"/>
  <c r="C22" i="1"/>
  <c r="C24" i="1" s="1"/>
  <c r="F23" i="1" s="1"/>
  <c r="F16" i="16" l="1"/>
  <c r="G21" i="14"/>
  <c r="D22" i="14"/>
  <c r="F22" i="14" s="1"/>
  <c r="C23" i="14" s="1"/>
  <c r="F25" i="13"/>
  <c r="D26" i="13" s="1"/>
  <c r="G26" i="13" s="1"/>
  <c r="G12" i="7"/>
  <c r="F10" i="5"/>
  <c r="I10" i="5"/>
  <c r="G22" i="14" l="1"/>
  <c r="D23" i="14"/>
  <c r="F23" i="14" s="1"/>
  <c r="C24" i="14" s="1"/>
  <c r="F26" i="13"/>
  <c r="D27" i="13" s="1"/>
  <c r="G27" i="13" s="1"/>
  <c r="D13" i="7"/>
  <c r="E13" i="7" s="1"/>
  <c r="F13" i="7" s="1"/>
  <c r="H12" i="7"/>
  <c r="I12" i="7" s="1"/>
  <c r="E11" i="5"/>
  <c r="G11" i="5"/>
  <c r="H11" i="5" s="1"/>
  <c r="G23" i="14" l="1"/>
  <c r="D24" i="14"/>
  <c r="F24" i="14" s="1"/>
  <c r="C25" i="14" s="1"/>
  <c r="F27" i="13"/>
  <c r="D28" i="13" s="1"/>
  <c r="G28" i="13" s="1"/>
  <c r="G13" i="7"/>
  <c r="F11" i="5"/>
  <c r="I11" i="5"/>
  <c r="G24" i="14" l="1"/>
  <c r="D25" i="14"/>
  <c r="F25" i="14" s="1"/>
  <c r="C26" i="14" s="1"/>
  <c r="F28" i="13"/>
  <c r="D29" i="13" s="1"/>
  <c r="G29" i="13" s="1"/>
  <c r="G30" i="13" s="1"/>
  <c r="G14" i="8"/>
  <c r="D14" i="7"/>
  <c r="E14" i="7" s="1"/>
  <c r="F14" i="7" s="1"/>
  <c r="H13" i="7"/>
  <c r="I13" i="7" s="1"/>
  <c r="E12" i="5"/>
  <c r="G12" i="5"/>
  <c r="H12" i="5" s="1"/>
  <c r="G25" i="14" l="1"/>
  <c r="D26" i="14"/>
  <c r="F26" i="14" s="1"/>
  <c r="C27" i="14" s="1"/>
  <c r="F29" i="13"/>
  <c r="G14" i="7"/>
  <c r="D15" i="7" s="1"/>
  <c r="F12" i="5"/>
  <c r="I12" i="5"/>
  <c r="G26" i="14" l="1"/>
  <c r="D27" i="14"/>
  <c r="F27" i="14" s="1"/>
  <c r="C28" i="14" s="1"/>
  <c r="E15" i="7"/>
  <c r="F15" i="7" s="1"/>
  <c r="G13" i="5"/>
  <c r="H13" i="5" s="1"/>
  <c r="E13" i="5"/>
  <c r="G27" i="14" l="1"/>
  <c r="D28" i="14"/>
  <c r="F28" i="14" s="1"/>
  <c r="C29" i="14" s="1"/>
  <c r="H14" i="7"/>
  <c r="I14" i="7" s="1"/>
  <c r="F13" i="5"/>
  <c r="I13" i="5"/>
  <c r="G28" i="14" l="1"/>
  <c r="D29" i="14"/>
  <c r="F29" i="14" s="1"/>
  <c r="G15" i="7"/>
  <c r="C10" i="6"/>
  <c r="C11" i="6" s="1"/>
  <c r="C12" i="6" s="1"/>
  <c r="C13" i="6" s="1"/>
  <c r="C14" i="6" s="1"/>
  <c r="C15" i="6" s="1"/>
  <c r="G29" i="14" l="1"/>
  <c r="G30" i="14" s="1"/>
  <c r="H15" i="7"/>
  <c r="I15" i="7" s="1"/>
  <c r="D10" i="6"/>
  <c r="F10" i="6" s="1"/>
  <c r="E10" i="6" l="1"/>
  <c r="G10" i="6" s="1"/>
  <c r="H10" i="6" s="1"/>
  <c r="D11" i="6" l="1"/>
  <c r="F11" i="6" s="1"/>
  <c r="E11" i="6" l="1"/>
  <c r="G11" i="6" s="1"/>
  <c r="H11" i="6" l="1"/>
  <c r="D12" i="6"/>
  <c r="E12" i="6" l="1"/>
  <c r="F12" i="6"/>
  <c r="G12" i="6" l="1"/>
  <c r="H12" i="6" s="1"/>
  <c r="D13" i="6" l="1"/>
  <c r="F13" i="6" s="1"/>
  <c r="E13" i="6" l="1"/>
  <c r="G13" i="6" s="1"/>
  <c r="H13" i="6" s="1"/>
  <c r="D14" i="6" l="1"/>
  <c r="F14" i="6" s="1"/>
  <c r="E14" i="6" l="1"/>
  <c r="G14" i="6" s="1"/>
  <c r="D15" i="6" l="1"/>
  <c r="H14" i="6"/>
  <c r="E15" i="6" l="1"/>
  <c r="F15" i="6"/>
  <c r="G15" i="6" l="1"/>
  <c r="H15" i="6" s="1"/>
  <c r="G13" i="8" l="1"/>
  <c r="G16" i="8"/>
  <c r="H16" i="8" s="1"/>
  <c r="G12" i="8" l="1"/>
  <c r="H12" i="8" s="1"/>
  <c r="F15" i="8" l="1"/>
  <c r="H11" i="8" l="1"/>
  <c r="H14" i="8"/>
  <c r="H13" i="8"/>
  <c r="G15" i="8"/>
  <c r="H15" i="8" s="1"/>
  <c r="H10" i="8"/>
  <c r="E12" i="11" l="1"/>
  <c r="D12" i="11"/>
  <c r="E13" i="11" s="1"/>
  <c r="D13" i="11" l="1"/>
  <c r="D14" i="11" s="1"/>
  <c r="D15" i="11" s="1"/>
  <c r="E14" i="11" l="1"/>
  <c r="E15" i="11"/>
  <c r="E16" i="11"/>
  <c r="D16" i="11"/>
  <c r="E17" i="11" l="1"/>
  <c r="D17" i="11"/>
  <c r="E18" i="11" l="1"/>
  <c r="D18" i="11"/>
  <c r="D19" i="11" l="1"/>
  <c r="E19" i="11"/>
  <c r="E20" i="11" l="1"/>
  <c r="D20" i="11"/>
  <c r="E21" i="11" l="1"/>
  <c r="D21" i="11"/>
  <c r="D22" i="11" l="1"/>
  <c r="E22" i="11"/>
  <c r="D23" i="11" l="1"/>
  <c r="E23" i="11"/>
  <c r="D24" i="11" l="1"/>
  <c r="E24" i="11"/>
  <c r="D25" i="11" l="1"/>
  <c r="E25" i="11"/>
  <c r="E26" i="11" l="1"/>
  <c r="D26" i="11"/>
  <c r="E32" i="11" l="1"/>
  <c r="E31" i="11"/>
</calcChain>
</file>

<file path=xl/sharedStrings.xml><?xml version="1.0" encoding="utf-8"?>
<sst xmlns="http://schemas.openxmlformats.org/spreadsheetml/2006/main" count="187" uniqueCount="89">
  <si>
    <t>Заявка, n</t>
  </si>
  <si>
    <t>Время ожид, Wn</t>
  </si>
  <si>
    <t>Время обслуж., Хn</t>
  </si>
  <si>
    <t>Время между заявками Yn</t>
  </si>
  <si>
    <t>Wn+Xn-Yn</t>
  </si>
  <si>
    <r>
      <t xml:space="preserve">Ср. время между заявками </t>
    </r>
    <r>
      <rPr>
        <b/>
        <i/>
        <sz val="16"/>
        <color theme="1"/>
        <rFont val="Times New Roman"/>
        <family val="1"/>
        <charset val="204"/>
      </rPr>
      <t xml:space="preserve"> t</t>
    </r>
    <r>
      <rPr>
        <b/>
        <i/>
        <vertAlign val="subscript"/>
        <sz val="16"/>
        <color theme="1"/>
        <rFont val="Times New Roman"/>
        <family val="1"/>
        <charset val="204"/>
      </rPr>
      <t xml:space="preserve">z </t>
    </r>
    <r>
      <rPr>
        <b/>
        <i/>
        <sz val="16"/>
        <color theme="1"/>
        <rFont val="Cambria"/>
        <family val="1"/>
        <charset val="204"/>
      </rPr>
      <t>=</t>
    </r>
    <r>
      <rPr>
        <b/>
        <sz val="16"/>
        <color theme="1"/>
        <rFont val="Calibri"/>
        <family val="2"/>
        <charset val="204"/>
      </rPr>
      <t xml:space="preserve">    1/λ</t>
    </r>
  </si>
  <si>
    <r>
      <t xml:space="preserve">Ср. время обслуживания  заявки </t>
    </r>
    <r>
      <rPr>
        <b/>
        <i/>
        <sz val="16"/>
        <color theme="1"/>
        <rFont val="Times New Roman"/>
        <family val="1"/>
        <charset val="204"/>
      </rPr>
      <t xml:space="preserve"> t</t>
    </r>
    <r>
      <rPr>
        <b/>
        <i/>
        <vertAlign val="subscript"/>
        <sz val="16"/>
        <color theme="1"/>
        <rFont val="Times New Roman"/>
        <family val="1"/>
        <charset val="204"/>
      </rPr>
      <t xml:space="preserve">o </t>
    </r>
    <r>
      <rPr>
        <b/>
        <i/>
        <sz val="16"/>
        <color theme="1"/>
        <rFont val="Times New Roman"/>
        <family val="1"/>
        <charset val="204"/>
      </rPr>
      <t xml:space="preserve"> =  1/μ</t>
    </r>
  </si>
  <si>
    <r>
      <t xml:space="preserve">Начальное время </t>
    </r>
    <r>
      <rPr>
        <b/>
        <i/>
        <sz val="22"/>
        <color theme="1"/>
        <rFont val="Times New Roman"/>
        <family val="1"/>
        <charset val="204"/>
      </rPr>
      <t>t</t>
    </r>
    <r>
      <rPr>
        <b/>
        <i/>
        <vertAlign val="subscript"/>
        <sz val="22"/>
        <color theme="1"/>
        <rFont val="Times New Roman"/>
        <family val="1"/>
        <charset val="204"/>
      </rPr>
      <t>n</t>
    </r>
    <r>
      <rPr>
        <b/>
        <i/>
        <sz val="22"/>
        <color theme="1"/>
        <rFont val="Times New Roman"/>
        <family val="1"/>
        <charset val="204"/>
      </rPr>
      <t xml:space="preserve"> =</t>
    </r>
  </si>
  <si>
    <t>мин.</t>
  </si>
  <si>
    <t>Время между заявками, мин.</t>
  </si>
  <si>
    <t>Время обслуживния, мин.</t>
  </si>
  <si>
    <t>Начало обслуж. (ч: мин)</t>
  </si>
  <si>
    <t>Время прибытия заявки      (ч: мм)</t>
  </si>
  <si>
    <t>Время обслуживния (ч: мм)</t>
  </si>
  <si>
    <t>Начало обслуж. (ч: мм)</t>
  </si>
  <si>
    <t>Конец обслуж. (ч: мм)</t>
  </si>
  <si>
    <t>Ожидание (ч: мм)</t>
  </si>
  <si>
    <t>Суммар. время =</t>
  </si>
  <si>
    <t>Время обл. =</t>
  </si>
  <si>
    <t>Част. исп. канала обсл. =</t>
  </si>
  <si>
    <t>ожид=</t>
  </si>
  <si>
    <t>обсл=</t>
  </si>
  <si>
    <t>сумма=</t>
  </si>
  <si>
    <t xml:space="preserve"> =I14-D7=</t>
  </si>
  <si>
    <t xml:space="preserve"> =СУММ(F8:F14)=</t>
  </si>
  <si>
    <t>Заявка</t>
  </si>
  <si>
    <t>Время прибытия  (ч:мм)</t>
  </si>
  <si>
    <t>Время обслуж.  (ч:мм)</t>
  </si>
  <si>
    <t>Обслуж. 1 канал</t>
  </si>
  <si>
    <t>Обслуж. 2 канал</t>
  </si>
  <si>
    <t>Начало (ч:мм)</t>
  </si>
  <si>
    <t>конец (ч:мм)</t>
  </si>
  <si>
    <t>Ожидание (ч:мм)</t>
  </si>
  <si>
    <r>
      <t>Ср. время между заявками   t</t>
    </r>
    <r>
      <rPr>
        <vertAlign val="subscript"/>
        <sz val="16"/>
        <color theme="1"/>
        <rFont val="Times New Roman"/>
        <family val="1"/>
        <charset val="204"/>
      </rPr>
      <t>z</t>
    </r>
    <r>
      <rPr>
        <sz val="16"/>
        <color theme="1"/>
        <rFont val="Times New Roman"/>
        <family val="1"/>
        <charset val="204"/>
      </rPr>
      <t xml:space="preserve"> = 1/λ = </t>
    </r>
  </si>
  <si>
    <r>
      <t>Ср. время обслуж.  заявок   t</t>
    </r>
    <r>
      <rPr>
        <vertAlign val="subscript"/>
        <sz val="16"/>
        <color theme="1"/>
        <rFont val="Times New Roman"/>
        <family val="1"/>
        <charset val="204"/>
      </rPr>
      <t>z</t>
    </r>
    <r>
      <rPr>
        <sz val="16"/>
        <color theme="1"/>
        <rFont val="Times New Roman"/>
        <family val="1"/>
        <charset val="204"/>
      </rPr>
      <t xml:space="preserve"> = 1/</t>
    </r>
    <r>
      <rPr>
        <sz val="16"/>
        <color theme="1"/>
        <rFont val="Calibri"/>
        <family val="2"/>
        <charset val="204"/>
      </rPr>
      <t>μ</t>
    </r>
    <r>
      <rPr>
        <sz val="16"/>
        <color theme="1"/>
        <rFont val="Times New Roman"/>
        <family val="1"/>
        <charset val="204"/>
      </rPr>
      <t xml:space="preserve"> = </t>
    </r>
  </si>
  <si>
    <r>
      <t>Ср. время между заявками   t</t>
    </r>
    <r>
      <rPr>
        <b/>
        <vertAlign val="subscript"/>
        <sz val="16"/>
        <color theme="1"/>
        <rFont val="Times New Roman"/>
        <family val="1"/>
        <charset val="204"/>
      </rPr>
      <t>z</t>
    </r>
    <r>
      <rPr>
        <b/>
        <sz val="16"/>
        <color theme="1"/>
        <rFont val="Times New Roman"/>
        <family val="1"/>
        <charset val="204"/>
      </rPr>
      <t xml:space="preserve"> = 1/λ = </t>
    </r>
  </si>
  <si>
    <r>
      <t>Ср. время обслуж.  заявок   t</t>
    </r>
    <r>
      <rPr>
        <b/>
        <vertAlign val="subscript"/>
        <sz val="16"/>
        <color theme="1"/>
        <rFont val="Times New Roman"/>
        <family val="1"/>
        <charset val="204"/>
      </rPr>
      <t>z</t>
    </r>
    <r>
      <rPr>
        <b/>
        <sz val="16"/>
        <color theme="1"/>
        <rFont val="Times New Roman"/>
        <family val="1"/>
        <charset val="204"/>
      </rPr>
      <t xml:space="preserve"> = 1/μ = </t>
    </r>
  </si>
  <si>
    <t xml:space="preserve">Макс. время ожид. обсл. ТОМах (ч:мм) = </t>
  </si>
  <si>
    <t>Время прибытия заявки (ч:мм)</t>
  </si>
  <si>
    <t>Поступл. на обслуж.</t>
  </si>
  <si>
    <t>Время обсл. (ч:мм)</t>
  </si>
  <si>
    <t>Обслуживание</t>
  </si>
  <si>
    <t>начало (ч:мм)</t>
  </si>
  <si>
    <t>Ожид. (ч:мм)</t>
  </si>
  <si>
    <t xml:space="preserve">Макс.длина очереди LOМах  = </t>
  </si>
  <si>
    <t>Длина очереди</t>
  </si>
  <si>
    <r>
      <rPr>
        <b/>
        <sz val="14"/>
        <color theme="1"/>
        <rFont val="Times New Roman"/>
        <family val="1"/>
        <charset val="204"/>
      </rPr>
      <t>Ср. время между заявками</t>
    </r>
    <r>
      <rPr>
        <b/>
        <sz val="16"/>
        <color theme="1"/>
        <rFont val="Times New Roman"/>
        <family val="1"/>
        <charset val="204"/>
      </rPr>
      <t xml:space="preserve">   t</t>
    </r>
    <r>
      <rPr>
        <b/>
        <vertAlign val="subscript"/>
        <sz val="16"/>
        <color theme="1"/>
        <rFont val="Times New Roman"/>
        <family val="1"/>
        <charset val="204"/>
      </rPr>
      <t>z</t>
    </r>
    <r>
      <rPr>
        <b/>
        <sz val="16"/>
        <color theme="1"/>
        <rFont val="Times New Roman"/>
        <family val="1"/>
        <charset val="204"/>
      </rPr>
      <t xml:space="preserve"> = 1/λ = </t>
    </r>
  </si>
  <si>
    <r>
      <t xml:space="preserve">Мин. граница вр. обсл </t>
    </r>
    <r>
      <rPr>
        <b/>
        <i/>
        <sz val="16"/>
        <color theme="1"/>
        <rFont val="Times New Roman"/>
        <family val="1"/>
        <charset val="204"/>
      </rPr>
      <t>a</t>
    </r>
    <r>
      <rPr>
        <b/>
        <sz val="16"/>
        <color theme="1"/>
        <rFont val="Times New Roman"/>
        <family val="1"/>
        <charset val="204"/>
      </rPr>
      <t xml:space="preserve">   </t>
    </r>
    <r>
      <rPr>
        <b/>
        <sz val="16"/>
        <color theme="1"/>
        <rFont val="Times New Roman"/>
        <family val="1"/>
        <charset val="204"/>
      </rPr>
      <t xml:space="preserve"> = </t>
    </r>
  </si>
  <si>
    <r>
      <t>Макс. граница вр. обсл</t>
    </r>
    <r>
      <rPr>
        <b/>
        <i/>
        <sz val="16"/>
        <color theme="1"/>
        <rFont val="Times New Roman"/>
        <family val="1"/>
        <charset val="204"/>
      </rPr>
      <t xml:space="preserve"> b</t>
    </r>
    <r>
      <rPr>
        <b/>
        <sz val="16"/>
        <color theme="1"/>
        <rFont val="Times New Roman"/>
        <family val="1"/>
        <charset val="204"/>
      </rPr>
      <t xml:space="preserve">    = </t>
    </r>
  </si>
  <si>
    <t xml:space="preserve">Размер группы Ngrup =    </t>
  </si>
  <si>
    <t>Размер группы</t>
  </si>
  <si>
    <t>D10=0</t>
  </si>
  <si>
    <t>Стоим. хран.  Ch, руб.</t>
  </si>
  <si>
    <t>Стоим. дефицита.  Cd, руб.</t>
  </si>
  <si>
    <t>Объём заказа Part , шт.</t>
  </si>
  <si>
    <t>Исходные данные</t>
  </si>
  <si>
    <r>
      <t>Ср. знач. спроса M</t>
    </r>
    <r>
      <rPr>
        <b/>
        <vertAlign val="subscript"/>
        <sz val="16"/>
        <color rgb="FF7030A0"/>
        <rFont val="Times New Roman"/>
        <family val="1"/>
        <charset val="204"/>
      </rPr>
      <t>D</t>
    </r>
    <r>
      <rPr>
        <b/>
        <sz val="16"/>
        <color rgb="FF7030A0"/>
        <rFont val="Times New Roman"/>
        <family val="1"/>
        <charset val="204"/>
      </rPr>
      <t>, шт.</t>
    </r>
  </si>
  <si>
    <r>
      <t>СКО спроса D</t>
    </r>
    <r>
      <rPr>
        <b/>
        <vertAlign val="subscript"/>
        <sz val="16"/>
        <color rgb="FF7030A0"/>
        <rFont val="Times New Roman"/>
        <family val="1"/>
        <charset val="204"/>
      </rPr>
      <t>D</t>
    </r>
    <r>
      <rPr>
        <b/>
        <sz val="16"/>
        <color rgb="FF7030A0"/>
        <rFont val="Times New Roman"/>
        <family val="1"/>
        <charset val="204"/>
      </rPr>
      <t>, шт.</t>
    </r>
  </si>
  <si>
    <t>Моделирование</t>
  </si>
  <si>
    <t>Реализация</t>
  </si>
  <si>
    <t>Спрос, D</t>
  </si>
  <si>
    <t>Издержки, С</t>
  </si>
  <si>
    <t>Статистические оценки</t>
  </si>
  <si>
    <t>Ср. знач. Издержек</t>
  </si>
  <si>
    <t>Ср. знач. издержек</t>
  </si>
  <si>
    <t>СКО издержек</t>
  </si>
  <si>
    <t>Объём заказа</t>
  </si>
  <si>
    <r>
      <t xml:space="preserve">Стоим. хран.  </t>
    </r>
    <r>
      <rPr>
        <b/>
        <sz val="16"/>
        <color rgb="FFFF0000"/>
        <rFont val="Times New Roman"/>
        <family val="1"/>
        <charset val="204"/>
      </rPr>
      <t>Ch</t>
    </r>
    <r>
      <rPr>
        <b/>
        <sz val="16"/>
        <color rgb="FF7030A0"/>
        <rFont val="Times New Roman"/>
        <family val="1"/>
        <charset val="204"/>
      </rPr>
      <t>, руб.</t>
    </r>
  </si>
  <si>
    <r>
      <t xml:space="preserve">Стоим. дефицита. </t>
    </r>
    <r>
      <rPr>
        <b/>
        <sz val="16"/>
        <color rgb="FFFF0000"/>
        <rFont val="Times New Roman"/>
        <family val="1"/>
        <charset val="204"/>
      </rPr>
      <t xml:space="preserve"> Cd</t>
    </r>
    <r>
      <rPr>
        <b/>
        <sz val="16"/>
        <color rgb="FF7030A0"/>
        <rFont val="Times New Roman"/>
        <family val="1"/>
        <charset val="204"/>
      </rPr>
      <t>, руб.</t>
    </r>
  </si>
  <si>
    <r>
      <t xml:space="preserve">Нач. уровень запаса, </t>
    </r>
    <r>
      <rPr>
        <b/>
        <sz val="16"/>
        <color rgb="FFFF0000"/>
        <rFont val="Times New Roman"/>
        <family val="1"/>
        <charset val="204"/>
      </rPr>
      <t>N</t>
    </r>
    <r>
      <rPr>
        <b/>
        <sz val="16"/>
        <color rgb="FF7030A0"/>
        <rFont val="Times New Roman"/>
        <family val="1"/>
        <charset val="204"/>
      </rPr>
      <t>, шт.</t>
    </r>
  </si>
  <si>
    <r>
      <t xml:space="preserve">Объём произв. </t>
    </r>
    <r>
      <rPr>
        <b/>
        <sz val="16"/>
        <color rgb="FFFF0000"/>
        <rFont val="Times New Roman"/>
        <family val="1"/>
        <charset val="204"/>
      </rPr>
      <t>Part</t>
    </r>
    <r>
      <rPr>
        <b/>
        <sz val="16"/>
        <color rgb="FF7030A0"/>
        <rFont val="Times New Roman"/>
        <family val="1"/>
        <charset val="204"/>
      </rPr>
      <t xml:space="preserve"> , шт.</t>
    </r>
  </si>
  <si>
    <r>
      <t xml:space="preserve">Ср. знач. спроса </t>
    </r>
    <r>
      <rPr>
        <b/>
        <sz val="16"/>
        <color rgb="FFFF0000"/>
        <rFont val="Times New Roman"/>
        <family val="1"/>
        <charset val="204"/>
      </rPr>
      <t>M</t>
    </r>
    <r>
      <rPr>
        <b/>
        <vertAlign val="subscript"/>
        <sz val="16"/>
        <color rgb="FFFF0000"/>
        <rFont val="Times New Roman"/>
        <family val="1"/>
        <charset val="204"/>
      </rPr>
      <t>C</t>
    </r>
    <r>
      <rPr>
        <b/>
        <sz val="16"/>
        <color rgb="FF7030A0"/>
        <rFont val="Times New Roman"/>
        <family val="1"/>
        <charset val="204"/>
      </rPr>
      <t>, шт.</t>
    </r>
  </si>
  <si>
    <r>
      <t xml:space="preserve">СКО спроса </t>
    </r>
    <r>
      <rPr>
        <b/>
        <sz val="16"/>
        <color rgb="FFFF0000"/>
        <rFont val="Times New Roman"/>
        <family val="1"/>
        <charset val="204"/>
      </rPr>
      <t>D</t>
    </r>
    <r>
      <rPr>
        <b/>
        <vertAlign val="subscript"/>
        <sz val="16"/>
        <color rgb="FFFF0000"/>
        <rFont val="Times New Roman"/>
        <family val="1"/>
        <charset val="204"/>
      </rPr>
      <t>c</t>
    </r>
    <r>
      <rPr>
        <b/>
        <sz val="16"/>
        <color rgb="FF7030A0"/>
        <rFont val="Times New Roman"/>
        <family val="1"/>
        <charset val="204"/>
      </rPr>
      <t>, шт.</t>
    </r>
  </si>
  <si>
    <t>Период</t>
  </si>
  <si>
    <t>Остаток</t>
  </si>
  <si>
    <t>Индикатор</t>
  </si>
  <si>
    <t>Запас на начало периода</t>
  </si>
  <si>
    <t>Остаток на складе</t>
  </si>
  <si>
    <t>Общее значение издержек</t>
  </si>
  <si>
    <r>
      <t xml:space="preserve">Стоим. хран. ед. товара </t>
    </r>
    <r>
      <rPr>
        <b/>
        <sz val="22"/>
        <color rgb="FFFF0000"/>
        <rFont val="Times New Roman"/>
        <family val="1"/>
        <charset val="204"/>
      </rPr>
      <t>Ch</t>
    </r>
    <r>
      <rPr>
        <b/>
        <sz val="22"/>
        <color rgb="FF7030A0"/>
        <rFont val="Times New Roman"/>
        <family val="1"/>
        <charset val="204"/>
      </rPr>
      <t>, руб.</t>
    </r>
  </si>
  <si>
    <r>
      <t xml:space="preserve">Штраф за  дефицит. </t>
    </r>
    <r>
      <rPr>
        <b/>
        <sz val="22"/>
        <color rgb="FFFF0000"/>
        <rFont val="Times New Roman"/>
        <family val="1"/>
        <charset val="204"/>
      </rPr>
      <t xml:space="preserve"> Cd</t>
    </r>
    <r>
      <rPr>
        <b/>
        <sz val="22"/>
        <color rgb="FF7030A0"/>
        <rFont val="Times New Roman"/>
        <family val="1"/>
        <charset val="204"/>
      </rPr>
      <t>, руб.</t>
    </r>
  </si>
  <si>
    <r>
      <t xml:space="preserve">Нач. уровень запаса, </t>
    </r>
    <r>
      <rPr>
        <b/>
        <sz val="22"/>
        <color rgb="FFFF0000"/>
        <rFont val="Times New Roman"/>
        <family val="1"/>
        <charset val="204"/>
      </rPr>
      <t>N</t>
    </r>
    <r>
      <rPr>
        <b/>
        <sz val="22"/>
        <color rgb="FF7030A0"/>
        <rFont val="Times New Roman"/>
        <family val="1"/>
        <charset val="204"/>
      </rPr>
      <t>, шт.</t>
    </r>
  </si>
  <si>
    <r>
      <t xml:space="preserve">Объём произв. </t>
    </r>
    <r>
      <rPr>
        <b/>
        <sz val="22"/>
        <color rgb="FFFF0000"/>
        <rFont val="Times New Roman"/>
        <family val="1"/>
        <charset val="204"/>
      </rPr>
      <t>Part</t>
    </r>
    <r>
      <rPr>
        <b/>
        <sz val="22"/>
        <color rgb="FF7030A0"/>
        <rFont val="Times New Roman"/>
        <family val="1"/>
        <charset val="204"/>
      </rPr>
      <t xml:space="preserve"> , шт.</t>
    </r>
  </si>
  <si>
    <r>
      <t xml:space="preserve">Ср. знач. спроса </t>
    </r>
    <r>
      <rPr>
        <b/>
        <sz val="22"/>
        <color rgb="FFFF0000"/>
        <rFont val="Times New Roman"/>
        <family val="1"/>
        <charset val="204"/>
      </rPr>
      <t>M</t>
    </r>
    <r>
      <rPr>
        <b/>
        <vertAlign val="subscript"/>
        <sz val="22"/>
        <color rgb="FFFF0000"/>
        <rFont val="Times New Roman"/>
        <family val="1"/>
        <charset val="204"/>
      </rPr>
      <t>C</t>
    </r>
    <r>
      <rPr>
        <b/>
        <sz val="22"/>
        <color rgb="FF7030A0"/>
        <rFont val="Times New Roman"/>
        <family val="1"/>
        <charset val="204"/>
      </rPr>
      <t>, шт.</t>
    </r>
  </si>
  <si>
    <r>
      <t xml:space="preserve">СКО спроса </t>
    </r>
    <r>
      <rPr>
        <b/>
        <sz val="22"/>
        <color rgb="FFFF0000"/>
        <rFont val="Times New Roman"/>
        <family val="1"/>
        <charset val="204"/>
      </rPr>
      <t>D</t>
    </r>
    <r>
      <rPr>
        <b/>
        <vertAlign val="subscript"/>
        <sz val="22"/>
        <color rgb="FFFF0000"/>
        <rFont val="Times New Roman"/>
        <family val="1"/>
        <charset val="204"/>
      </rPr>
      <t>c</t>
    </r>
    <r>
      <rPr>
        <b/>
        <sz val="22"/>
        <color rgb="FF7030A0"/>
        <rFont val="Times New Roman"/>
        <family val="1"/>
        <charset val="204"/>
      </rPr>
      <t>, шт.</t>
    </r>
  </si>
  <si>
    <r>
      <t xml:space="preserve">Стоим. Поставки ед. товара, </t>
    </r>
    <r>
      <rPr>
        <b/>
        <sz val="22"/>
        <color rgb="FFFF0000"/>
        <rFont val="Times New Roman"/>
        <family val="1"/>
        <charset val="204"/>
      </rPr>
      <t>С</t>
    </r>
    <r>
      <rPr>
        <b/>
        <vertAlign val="subscript"/>
        <sz val="22"/>
        <color rgb="FFFF0000"/>
        <rFont val="Times New Roman"/>
        <family val="1"/>
        <charset val="204"/>
      </rPr>
      <t>Р</t>
    </r>
  </si>
  <si>
    <r>
      <t>Периодичность поставки,</t>
    </r>
    <r>
      <rPr>
        <b/>
        <sz val="22"/>
        <color rgb="FFFF0000"/>
        <rFont val="Times New Roman"/>
        <family val="1"/>
        <charset val="204"/>
      </rPr>
      <t xml:space="preserve"> I</t>
    </r>
  </si>
  <si>
    <r>
      <t xml:space="preserve">Миним. Уровень запаса, шт., </t>
    </r>
    <r>
      <rPr>
        <b/>
        <sz val="22"/>
        <color rgb="FFFF0000"/>
        <rFont val="Times New Roman"/>
        <family val="1"/>
        <charset val="204"/>
      </rPr>
      <t>Vmin</t>
    </r>
  </si>
  <si>
    <r>
      <t>Р</t>
    </r>
    <r>
      <rPr>
        <b/>
        <i/>
        <vertAlign val="subscript"/>
        <sz val="16"/>
        <color rgb="FFC00000"/>
        <rFont val="Times New Roman"/>
        <family val="1"/>
        <charset val="204"/>
      </rPr>
      <t>1</t>
    </r>
    <r>
      <rPr>
        <b/>
        <i/>
        <sz val="16"/>
        <color rgb="FFC00000"/>
        <rFont val="Times New Roman"/>
        <family val="1"/>
        <charset val="204"/>
      </rPr>
      <t>= C23/C24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</si>
</sst>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;@"/>
    <numFmt numFmtId="165" formatCode="#,##0\ &quot;₽&quot;"/>
  </numFmts>
  <fonts count="43" x14ac:knownFonts="1">
    <font>
      <sz val="11"/>
      <color theme="1"/>
      <name val="Calibri"/>
      <family val="2"/>
      <scheme val="minor"/>
    </font>
    <font>
      <b/>
      <i/>
      <sz val="16"/>
      <color theme="1"/>
      <name val="Times New Roman"/>
      <family val="1"/>
      <charset val="204"/>
    </font>
    <font>
      <b/>
      <i/>
      <vertAlign val="subscript"/>
      <sz val="16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i/>
      <sz val="16"/>
      <color theme="1"/>
      <name val="Cambria"/>
      <family val="1"/>
      <charset val="204"/>
    </font>
    <font>
      <b/>
      <sz val="16"/>
      <color theme="1"/>
      <name val="Calibri"/>
      <family val="2"/>
      <charset val="204"/>
    </font>
    <font>
      <b/>
      <i/>
      <sz val="22"/>
      <color theme="1"/>
      <name val="Times New Roman"/>
      <family val="1"/>
      <charset val="204"/>
    </font>
    <font>
      <b/>
      <i/>
      <vertAlign val="subscript"/>
      <sz val="22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b/>
      <sz val="18"/>
      <color rgb="FF7030A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6"/>
      <color rgb="FF00B050"/>
      <name val="Times New Roman"/>
      <family val="1"/>
      <charset val="204"/>
    </font>
    <font>
      <b/>
      <sz val="18"/>
      <color rgb="FF00B050"/>
      <name val="Times New Roman"/>
      <family val="1"/>
      <charset val="204"/>
    </font>
    <font>
      <b/>
      <i/>
      <sz val="16"/>
      <color rgb="FFC00000"/>
      <name val="Times New Roman"/>
      <family val="1"/>
      <charset val="204"/>
    </font>
    <font>
      <b/>
      <i/>
      <sz val="16"/>
      <color rgb="FF7030A0"/>
      <name val="Times New Roman"/>
      <family val="1"/>
      <charset val="204"/>
    </font>
    <font>
      <vertAlign val="subscript"/>
      <sz val="16"/>
      <color theme="1"/>
      <name val="Times New Roman"/>
      <family val="1"/>
      <charset val="204"/>
    </font>
    <font>
      <b/>
      <i/>
      <vertAlign val="subscript"/>
      <sz val="16"/>
      <color rgb="FFC00000"/>
      <name val="Times New Roman"/>
      <family val="1"/>
      <charset val="204"/>
    </font>
    <font>
      <b/>
      <sz val="16"/>
      <color rgb="FFC00000"/>
      <name val="Times New Roman"/>
      <family val="1"/>
      <charset val="204"/>
    </font>
    <font>
      <sz val="16"/>
      <color theme="1"/>
      <name val="Calibri"/>
      <family val="2"/>
      <charset val="204"/>
    </font>
    <font>
      <b/>
      <sz val="16"/>
      <color theme="1"/>
      <name val="Calibri"/>
      <family val="2"/>
      <scheme val="minor"/>
    </font>
    <font>
      <b/>
      <sz val="18"/>
      <color theme="1"/>
      <name val="Times New Roman"/>
      <family val="1"/>
      <charset val="204"/>
    </font>
    <font>
      <b/>
      <vertAlign val="subscript"/>
      <sz val="16"/>
      <color theme="1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rgb="FF7030A0"/>
      <name val="Times New Roman"/>
      <family val="1"/>
      <charset val="204"/>
    </font>
    <font>
      <b/>
      <vertAlign val="subscript"/>
      <sz val="16"/>
      <color rgb="FF7030A0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vertAlign val="subscript"/>
      <sz val="16"/>
      <color rgb="FFFF0000"/>
      <name val="Times New Roman"/>
      <family val="1"/>
      <charset val="204"/>
    </font>
    <font>
      <b/>
      <sz val="22"/>
      <color rgb="FFFF0000"/>
      <name val="Times New Roman"/>
      <family val="1"/>
      <charset val="204"/>
    </font>
    <font>
      <b/>
      <sz val="22"/>
      <color rgb="FF7030A0"/>
      <name val="Times New Roman"/>
      <family val="1"/>
      <charset val="204"/>
    </font>
    <font>
      <b/>
      <sz val="24"/>
      <color rgb="FFFF0000"/>
      <name val="Times New Roman"/>
      <family val="1"/>
      <charset val="204"/>
    </font>
    <font>
      <b/>
      <sz val="26"/>
      <color rgb="FFFF0000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sz val="11"/>
      <color rgb="FF00B050"/>
      <name val="Calibri"/>
      <family val="2"/>
      <scheme val="minor"/>
    </font>
    <font>
      <b/>
      <sz val="24"/>
      <color rgb="FF00B050"/>
      <name val="Times New Roman"/>
      <family val="1"/>
      <charset val="204"/>
    </font>
    <font>
      <sz val="11"/>
      <color rgb="FF7030A0"/>
      <name val="Calibri"/>
      <family val="2"/>
      <scheme val="minor"/>
    </font>
    <font>
      <b/>
      <sz val="24"/>
      <color rgb="FF7030A0"/>
      <name val="Times New Roman"/>
      <family val="1"/>
      <charset val="204"/>
    </font>
    <font>
      <b/>
      <sz val="16"/>
      <color rgb="FF0070C0"/>
      <name val="Times New Roman"/>
      <family val="1"/>
      <charset val="204"/>
    </font>
    <font>
      <sz val="11"/>
      <color rgb="FF0070C0"/>
      <name val="Calibri"/>
      <family val="2"/>
      <scheme val="minor"/>
    </font>
    <font>
      <b/>
      <sz val="24"/>
      <color rgb="FF0070C0"/>
      <name val="Times New Roman"/>
      <family val="1"/>
      <charset val="204"/>
    </font>
    <font>
      <b/>
      <i/>
      <sz val="22"/>
      <color rgb="FF7030A0"/>
      <name val="Times New Roman"/>
      <family val="1"/>
      <charset val="204"/>
    </font>
    <font>
      <b/>
      <vertAlign val="subscript"/>
      <sz val="22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/>
    </xf>
    <xf numFmtId="0" fontId="3" fillId="0" borderId="5" xfId="0" applyFont="1" applyBorder="1" applyAlignment="1">
      <alignment horizontal="center" vertical="top" wrapText="1"/>
    </xf>
    <xf numFmtId="0" fontId="3" fillId="0" borderId="5" xfId="0" applyFont="1" applyBorder="1" applyAlignment="1">
      <alignment vertical="top" wrapText="1"/>
    </xf>
    <xf numFmtId="0" fontId="3" fillId="0" borderId="5" xfId="0" applyFont="1" applyBorder="1" applyAlignment="1">
      <alignment vertical="top"/>
    </xf>
    <xf numFmtId="0" fontId="3" fillId="0" borderId="0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20" fontId="3" fillId="0" borderId="5" xfId="0" applyNumberFormat="1" applyFont="1" applyBorder="1" applyAlignment="1">
      <alignment vertical="top" wrapText="1"/>
    </xf>
    <xf numFmtId="0" fontId="8" fillId="0" borderId="0" xfId="0" applyFont="1" applyBorder="1" applyAlignment="1">
      <alignment vertical="top"/>
    </xf>
    <xf numFmtId="164" fontId="3" fillId="0" borderId="5" xfId="0" applyNumberFormat="1" applyFont="1" applyBorder="1" applyAlignment="1">
      <alignment vertical="top" wrapText="1"/>
    </xf>
    <xf numFmtId="164" fontId="3" fillId="0" borderId="5" xfId="0" applyNumberFormat="1" applyFont="1" applyBorder="1" applyAlignment="1">
      <alignment vertical="top"/>
    </xf>
    <xf numFmtId="0" fontId="3" fillId="0" borderId="5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3" fillId="0" borderId="0" xfId="0" applyNumberFormat="1" applyFont="1" applyAlignment="1">
      <alignment vertical="top"/>
    </xf>
    <xf numFmtId="0" fontId="3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164" fontId="13" fillId="0" borderId="0" xfId="0" applyNumberFormat="1" applyFont="1" applyAlignment="1">
      <alignment vertical="top"/>
    </xf>
    <xf numFmtId="0" fontId="14" fillId="0" borderId="0" xfId="0" applyFont="1" applyAlignment="1">
      <alignment vertical="top"/>
    </xf>
    <xf numFmtId="0" fontId="14" fillId="0" borderId="0" xfId="0" applyFont="1" applyAlignment="1"/>
    <xf numFmtId="0" fontId="3" fillId="0" borderId="0" xfId="0" applyFont="1" applyAlignment="1"/>
    <xf numFmtId="164" fontId="10" fillId="0" borderId="0" xfId="0" applyNumberFormat="1" applyFont="1" applyAlignment="1"/>
    <xf numFmtId="0" fontId="15" fillId="0" borderId="0" xfId="0" applyFont="1" applyAlignment="1"/>
    <xf numFmtId="0" fontId="14" fillId="0" borderId="0" xfId="0" applyFont="1" applyAlignment="1">
      <alignment wrapText="1"/>
    </xf>
    <xf numFmtId="0" fontId="12" fillId="0" borderId="0" xfId="0" applyFont="1" applyAlignment="1">
      <alignment vertical="top"/>
    </xf>
    <xf numFmtId="0" fontId="14" fillId="0" borderId="0" xfId="0" applyFont="1"/>
    <xf numFmtId="0" fontId="11" fillId="0" borderId="0" xfId="0" applyFont="1"/>
    <xf numFmtId="0" fontId="18" fillId="0" borderId="0" xfId="0" applyFont="1"/>
    <xf numFmtId="2" fontId="11" fillId="0" borderId="0" xfId="0" applyNumberFormat="1" applyFont="1"/>
    <xf numFmtId="0" fontId="3" fillId="0" borderId="8" xfId="0" applyFont="1" applyBorder="1"/>
    <xf numFmtId="0" fontId="3" fillId="0" borderId="6" xfId="0" applyFont="1" applyBorder="1"/>
    <xf numFmtId="0" fontId="3" fillId="0" borderId="9" xfId="0" applyFont="1" applyBorder="1"/>
    <xf numFmtId="0" fontId="3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21" fillId="0" borderId="10" xfId="0" applyFont="1" applyBorder="1"/>
    <xf numFmtId="164" fontId="21" fillId="0" borderId="10" xfId="0" applyNumberFormat="1" applyFont="1" applyBorder="1"/>
    <xf numFmtId="0" fontId="21" fillId="0" borderId="11" xfId="0" applyFont="1" applyBorder="1"/>
    <xf numFmtId="164" fontId="21" fillId="0" borderId="11" xfId="0" applyNumberFormat="1" applyFont="1" applyBorder="1"/>
    <xf numFmtId="0" fontId="21" fillId="0" borderId="12" xfId="0" applyFont="1" applyBorder="1"/>
    <xf numFmtId="164" fontId="21" fillId="0" borderId="12" xfId="0" applyNumberFormat="1" applyFont="1" applyBorder="1"/>
    <xf numFmtId="0" fontId="11" fillId="0" borderId="8" xfId="0" applyFont="1" applyBorder="1"/>
    <xf numFmtId="0" fontId="11" fillId="0" borderId="6" xfId="0" applyFont="1" applyBorder="1"/>
    <xf numFmtId="0" fontId="11" fillId="0" borderId="9" xfId="0" applyFont="1" applyBorder="1"/>
    <xf numFmtId="20" fontId="11" fillId="0" borderId="8" xfId="0" applyNumberFormat="1" applyFont="1" applyBorder="1"/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5" xfId="0" applyFont="1" applyBorder="1" applyAlignment="1">
      <alignment horizontal="center" wrapText="1"/>
    </xf>
    <xf numFmtId="0" fontId="11" fillId="0" borderId="5" xfId="0" applyFont="1" applyBorder="1"/>
    <xf numFmtId="0" fontId="11" fillId="0" borderId="24" xfId="0" applyFont="1" applyBorder="1"/>
    <xf numFmtId="0" fontId="11" fillId="0" borderId="26" xfId="0" applyFont="1" applyBorder="1"/>
    <xf numFmtId="164" fontId="11" fillId="0" borderId="5" xfId="0" applyNumberFormat="1" applyFont="1" applyBorder="1"/>
    <xf numFmtId="164" fontId="11" fillId="0" borderId="27" xfId="0" applyNumberFormat="1" applyFont="1" applyBorder="1"/>
    <xf numFmtId="20" fontId="11" fillId="0" borderId="5" xfId="0" applyNumberFormat="1" applyFont="1" applyBorder="1" applyAlignment="1">
      <alignment horizontal="center"/>
    </xf>
    <xf numFmtId="164" fontId="23" fillId="0" borderId="5" xfId="0" applyNumberFormat="1" applyFont="1" applyBorder="1" applyAlignment="1">
      <alignment horizontal="center" vertical="center"/>
    </xf>
    <xf numFmtId="164" fontId="23" fillId="0" borderId="27" xfId="0" applyNumberFormat="1" applyFont="1" applyBorder="1" applyAlignment="1">
      <alignment horizontal="center" vertical="center"/>
    </xf>
    <xf numFmtId="0" fontId="11" fillId="0" borderId="29" xfId="0" applyFont="1" applyBorder="1"/>
    <xf numFmtId="0" fontId="11" fillId="0" borderId="31" xfId="0" applyFont="1" applyBorder="1"/>
    <xf numFmtId="164" fontId="11" fillId="0" borderId="30" xfId="0" applyNumberFormat="1" applyFont="1" applyBorder="1"/>
    <xf numFmtId="164" fontId="11" fillId="0" borderId="25" xfId="0" applyNumberFormat="1" applyFont="1" applyBorder="1"/>
    <xf numFmtId="0" fontId="11" fillId="0" borderId="0" xfId="0" applyFont="1" applyBorder="1"/>
    <xf numFmtId="0" fontId="11" fillId="0" borderId="32" xfId="0" applyFont="1" applyBorder="1"/>
    <xf numFmtId="164" fontId="11" fillId="0" borderId="33" xfId="0" applyNumberFormat="1" applyFont="1" applyBorder="1"/>
    <xf numFmtId="164" fontId="11" fillId="0" borderId="28" xfId="0" applyNumberFormat="1" applyFont="1" applyBorder="1"/>
    <xf numFmtId="164" fontId="23" fillId="0" borderId="0" xfId="0" applyNumberFormat="1" applyFont="1" applyBorder="1" applyAlignment="1">
      <alignment horizontal="center" vertical="center"/>
    </xf>
    <xf numFmtId="164" fontId="11" fillId="0" borderId="0" xfId="0" applyNumberFormat="1" applyFont="1" applyBorder="1"/>
    <xf numFmtId="0" fontId="11" fillId="0" borderId="8" xfId="0" applyNumberFormat="1" applyFont="1" applyBorder="1"/>
    <xf numFmtId="0" fontId="11" fillId="0" borderId="5" xfId="0" applyNumberFormat="1" applyFont="1" applyBorder="1" applyAlignment="1">
      <alignment horizontal="center"/>
    </xf>
    <xf numFmtId="0" fontId="23" fillId="0" borderId="29" xfId="0" applyNumberFormat="1" applyFont="1" applyBorder="1" applyAlignment="1">
      <alignment horizontal="center" vertical="center"/>
    </xf>
    <xf numFmtId="0" fontId="23" fillId="0" borderId="32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center"/>
    </xf>
    <xf numFmtId="164" fontId="23" fillId="0" borderId="5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11" fillId="0" borderId="7" xfId="0" applyFont="1" applyBorder="1"/>
    <xf numFmtId="164" fontId="11" fillId="0" borderId="0" xfId="0" applyNumberFormat="1" applyFont="1"/>
    <xf numFmtId="0" fontId="11" fillId="0" borderId="0" xfId="0" applyNumberFormat="1" applyFont="1"/>
    <xf numFmtId="165" fontId="11" fillId="0" borderId="9" xfId="0" applyNumberFormat="1" applyFont="1" applyBorder="1"/>
    <xf numFmtId="0" fontId="15" fillId="0" borderId="0" xfId="0" applyFont="1"/>
    <xf numFmtId="0" fontId="25" fillId="0" borderId="6" xfId="0" applyFont="1" applyBorder="1"/>
    <xf numFmtId="0" fontId="11" fillId="0" borderId="5" xfId="0" applyFont="1" applyBorder="1" applyAlignment="1">
      <alignment horizontal="center"/>
    </xf>
    <xf numFmtId="0" fontId="11" fillId="0" borderId="5" xfId="0" applyFont="1" applyBorder="1" applyAlignment="1">
      <alignment wrapText="1"/>
    </xf>
    <xf numFmtId="0" fontId="18" fillId="0" borderId="5" xfId="0" applyFont="1" applyBorder="1"/>
    <xf numFmtId="0" fontId="25" fillId="0" borderId="0" xfId="0" applyFont="1"/>
    <xf numFmtId="0" fontId="18" fillId="0" borderId="6" xfId="0" applyFont="1" applyBorder="1"/>
    <xf numFmtId="0" fontId="18" fillId="0" borderId="8" xfId="0" applyFont="1" applyBorder="1"/>
    <xf numFmtId="0" fontId="12" fillId="0" borderId="6" xfId="0" applyFont="1" applyBorder="1"/>
    <xf numFmtId="0" fontId="12" fillId="0" borderId="8" xfId="0" applyFont="1" applyBorder="1"/>
    <xf numFmtId="165" fontId="18" fillId="0" borderId="9" xfId="0" applyNumberFormat="1" applyFont="1" applyBorder="1"/>
    <xf numFmtId="165" fontId="12" fillId="0" borderId="9" xfId="0" applyNumberFormat="1" applyFont="1" applyBorder="1"/>
    <xf numFmtId="0" fontId="11" fillId="0" borderId="0" xfId="0" applyFont="1" applyBorder="1" applyAlignment="1">
      <alignment horizontal="center"/>
    </xf>
    <xf numFmtId="0" fontId="11" fillId="0" borderId="21" xfId="0" applyFont="1" applyBorder="1"/>
    <xf numFmtId="0" fontId="12" fillId="0" borderId="23" xfId="0" applyFont="1" applyBorder="1"/>
    <xf numFmtId="165" fontId="11" fillId="0" borderId="25" xfId="0" applyNumberFormat="1" applyFont="1" applyBorder="1"/>
    <xf numFmtId="0" fontId="11" fillId="0" borderId="24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165" fontId="11" fillId="0" borderId="28" xfId="0" applyNumberFormat="1" applyFont="1" applyBorder="1"/>
    <xf numFmtId="0" fontId="11" fillId="0" borderId="9" xfId="0" applyNumberFormat="1" applyFont="1" applyBorder="1"/>
    <xf numFmtId="0" fontId="18" fillId="0" borderId="21" xfId="0" applyFont="1" applyBorder="1"/>
    <xf numFmtId="0" fontId="18" fillId="0" borderId="22" xfId="0" applyFont="1" applyBorder="1"/>
    <xf numFmtId="0" fontId="18" fillId="0" borderId="23" xfId="0" applyFont="1" applyBorder="1"/>
    <xf numFmtId="0" fontId="27" fillId="0" borderId="25" xfId="0" applyFont="1" applyBorder="1" applyAlignment="1">
      <alignment wrapText="1"/>
    </xf>
    <xf numFmtId="0" fontId="11" fillId="0" borderId="27" xfId="0" applyFont="1" applyBorder="1" applyAlignment="1">
      <alignment wrapText="1"/>
    </xf>
    <xf numFmtId="0" fontId="27" fillId="0" borderId="28" xfId="0" applyFont="1" applyBorder="1" applyAlignment="1">
      <alignment wrapText="1"/>
    </xf>
    <xf numFmtId="0" fontId="27" fillId="0" borderId="36" xfId="0" applyFont="1" applyBorder="1" applyAlignment="1">
      <alignment horizontal="right" vertical="center" readingOrder="1"/>
    </xf>
    <xf numFmtId="0" fontId="11" fillId="0" borderId="0" xfId="0" applyFont="1" applyBorder="1" applyAlignment="1">
      <alignment wrapText="1"/>
    </xf>
    <xf numFmtId="0" fontId="27" fillId="0" borderId="0" xfId="0" applyFont="1" applyBorder="1" applyAlignment="1">
      <alignment wrapText="1"/>
    </xf>
    <xf numFmtId="0" fontId="12" fillId="0" borderId="0" xfId="0" applyFont="1" applyBorder="1"/>
    <xf numFmtId="165" fontId="11" fillId="0" borderId="0" xfId="0" applyNumberFormat="1" applyFont="1" applyBorder="1"/>
    <xf numFmtId="0" fontId="11" fillId="0" borderId="0" xfId="0" applyFont="1" applyAlignment="1">
      <alignment vertical="top"/>
    </xf>
    <xf numFmtId="0" fontId="33" fillId="0" borderId="24" xfId="0" applyFont="1" applyBorder="1" applyAlignment="1">
      <alignment horizontal="center"/>
    </xf>
    <xf numFmtId="1" fontId="33" fillId="0" borderId="5" xfId="0" applyNumberFormat="1" applyFont="1" applyBorder="1" applyAlignment="1">
      <alignment wrapText="1"/>
    </xf>
    <xf numFmtId="0" fontId="35" fillId="0" borderId="5" xfId="0" applyFont="1" applyBorder="1" applyAlignment="1">
      <alignment horizontal="right" vertical="center" readingOrder="1"/>
    </xf>
    <xf numFmtId="0" fontId="37" fillId="0" borderId="5" xfId="0" applyFont="1" applyBorder="1"/>
    <xf numFmtId="0" fontId="40" fillId="0" borderId="5" xfId="0" applyFont="1" applyBorder="1" applyAlignment="1">
      <alignment wrapText="1"/>
    </xf>
    <xf numFmtId="165" fontId="32" fillId="0" borderId="28" xfId="0" applyNumberFormat="1" applyFont="1" applyBorder="1" applyAlignment="1">
      <alignment horizontal="center"/>
    </xf>
    <xf numFmtId="165" fontId="9" fillId="0" borderId="9" xfId="0" applyNumberFormat="1" applyFont="1" applyBorder="1"/>
    <xf numFmtId="0" fontId="9" fillId="0" borderId="9" xfId="0" applyNumberFormat="1" applyFont="1" applyBorder="1"/>
    <xf numFmtId="0" fontId="9" fillId="0" borderId="9" xfId="0" applyFont="1" applyBorder="1"/>
    <xf numFmtId="1" fontId="9" fillId="0" borderId="9" xfId="0" applyNumberFormat="1" applyFont="1" applyBorder="1"/>
    <xf numFmtId="0" fontId="41" fillId="0" borderId="0" xfId="0" applyFont="1"/>
    <xf numFmtId="0" fontId="9" fillId="0" borderId="0" xfId="0" applyFont="1"/>
    <xf numFmtId="0" fontId="30" fillId="0" borderId="6" xfId="0" applyFont="1" applyBorder="1"/>
    <xf numFmtId="0" fontId="9" fillId="0" borderId="8" xfId="0" applyFont="1" applyBorder="1"/>
    <xf numFmtId="165" fontId="31" fillId="0" borderId="25" xfId="0" applyNumberFormat="1" applyFont="1" applyBorder="1" applyAlignment="1">
      <alignment horizontal="right" vertical="center" readingOrder="1"/>
    </xf>
    <xf numFmtId="165" fontId="31" fillId="0" borderId="25" xfId="0" applyNumberFormat="1" applyFont="1" applyBorder="1" applyAlignment="1">
      <alignment horizontal="right" vertical="center" wrapText="1" readingOrder="1"/>
    </xf>
    <xf numFmtId="0" fontId="11" fillId="0" borderId="18" xfId="0" applyFont="1" applyBorder="1" applyAlignment="1">
      <alignment vertical="top" wrapText="1"/>
    </xf>
    <xf numFmtId="0" fontId="20" fillId="0" borderId="16" xfId="0" applyFont="1" applyBorder="1" applyAlignment="1">
      <alignment wrapText="1"/>
    </xf>
    <xf numFmtId="0" fontId="11" fillId="0" borderId="13" xfId="0" applyFont="1" applyBorder="1" applyAlignment="1">
      <alignment vertical="top" wrapText="1"/>
    </xf>
    <xf numFmtId="0" fontId="20" fillId="0" borderId="14" xfId="0" applyFont="1" applyBorder="1" applyAlignment="1">
      <alignment wrapText="1"/>
    </xf>
    <xf numFmtId="0" fontId="11" fillId="0" borderId="15" xfId="0" applyFont="1" applyBorder="1" applyAlignment="1">
      <alignment vertical="top" wrapText="1"/>
    </xf>
    <xf numFmtId="0" fontId="20" fillId="0" borderId="17" xfId="0" applyFont="1" applyBorder="1" applyAlignment="1">
      <alignment vertical="top" wrapText="1"/>
    </xf>
    <xf numFmtId="0" fontId="11" fillId="0" borderId="19" xfId="0" applyFont="1" applyBorder="1" applyAlignment="1">
      <alignment vertical="top" wrapText="1"/>
    </xf>
    <xf numFmtId="0" fontId="20" fillId="0" borderId="20" xfId="0" applyFont="1" applyBorder="1" applyAlignment="1">
      <alignment vertical="top" wrapText="1"/>
    </xf>
    <xf numFmtId="0" fontId="11" fillId="0" borderId="21" xfId="0" applyFont="1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11" fillId="0" borderId="22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5" xfId="0" applyBorder="1" applyAlignment="1">
      <alignment horizontal="center" wrapText="1"/>
    </xf>
    <xf numFmtId="0" fontId="11" fillId="0" borderId="22" xfId="0" applyFont="1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11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/>
    <xf numFmtId="0" fontId="11" fillId="0" borderId="23" xfId="0" applyFont="1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11" fillId="0" borderId="34" xfId="0" applyFont="1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27" fillId="0" borderId="23" xfId="0" applyFont="1" applyBorder="1" applyAlignment="1">
      <alignment vertical="top"/>
    </xf>
    <xf numFmtId="0" fontId="0" fillId="0" borderId="25" xfId="0" applyBorder="1" applyAlignment="1">
      <alignment vertical="top"/>
    </xf>
    <xf numFmtId="0" fontId="31" fillId="0" borderId="37" xfId="0" applyFont="1" applyBorder="1" applyAlignment="1">
      <alignment horizontal="center"/>
    </xf>
    <xf numFmtId="0" fontId="0" fillId="0" borderId="38" xfId="0" applyBorder="1" applyAlignment="1"/>
    <xf numFmtId="0" fontId="0" fillId="0" borderId="33" xfId="0" applyBorder="1" applyAlignment="1"/>
    <xf numFmtId="0" fontId="18" fillId="0" borderId="21" xfId="0" applyFont="1" applyBorder="1" applyAlignment="1">
      <alignment vertical="top"/>
    </xf>
    <xf numFmtId="0" fontId="0" fillId="0" borderId="24" xfId="0" applyBorder="1" applyAlignment="1">
      <alignment vertical="top"/>
    </xf>
    <xf numFmtId="0" fontId="18" fillId="0" borderId="22" xfId="0" applyFont="1" applyBorder="1" applyAlignment="1">
      <alignment vertical="top"/>
    </xf>
    <xf numFmtId="0" fontId="0" fillId="0" borderId="5" xfId="0" applyBorder="1" applyAlignment="1">
      <alignment vertical="top"/>
    </xf>
    <xf numFmtId="0" fontId="38" fillId="0" borderId="22" xfId="0" applyFont="1" applyBorder="1" applyAlignment="1">
      <alignment vertical="top" wrapText="1"/>
    </xf>
    <xf numFmtId="0" fontId="39" fillId="0" borderId="5" xfId="0" applyFont="1" applyBorder="1" applyAlignment="1">
      <alignment vertical="top" wrapText="1"/>
    </xf>
    <xf numFmtId="0" fontId="12" fillId="0" borderId="22" xfId="0" applyFont="1" applyBorder="1" applyAlignment="1">
      <alignment vertical="top" wrapText="1"/>
    </xf>
    <xf numFmtId="0" fontId="34" fillId="0" borderId="5" xfId="0" applyFont="1" applyBorder="1" applyAlignment="1">
      <alignment vertical="top" wrapText="1"/>
    </xf>
    <xf numFmtId="0" fontId="25" fillId="0" borderId="22" xfId="0" applyFont="1" applyBorder="1" applyAlignment="1">
      <alignment vertical="top" wrapText="1"/>
    </xf>
    <xf numFmtId="0" fontId="36" fillId="0" borderId="5" xfId="0" applyFont="1" applyBorder="1" applyAlignment="1">
      <alignment vertical="top" wrapText="1"/>
    </xf>
    <xf numFmtId="0" fontId="11" fillId="0" borderId="1" xfId="0" applyFont="1" applyBorder="1"/>
    <xf numFmtId="0" fontId="11" fillId="0" borderId="2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 applyAlignment="1">
      <alignment horizontal="center" vertical="top" wrapText="1"/>
    </xf>
    <xf numFmtId="0" fontId="11" fillId="0" borderId="5" xfId="0" applyFont="1" applyBorder="1" applyAlignment="1">
      <alignment vertical="top" wrapText="1"/>
    </xf>
    <xf numFmtId="0" fontId="11" fillId="0" borderId="5" xfId="0" applyFont="1" applyBorder="1" applyAlignment="1">
      <alignment vertical="top"/>
    </xf>
    <xf numFmtId="2" fontId="11" fillId="0" borderId="5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ru-RU"/>
              <a:t>Диаграмма заявок</a:t>
            </a:r>
          </a:p>
        </c:rich>
      </c:tx>
      <c:layout>
        <c:manualLayout>
          <c:xMode val="edge"/>
          <c:yMode val="edge"/>
          <c:x val="0.43668044619422575"/>
          <c:y val="2.77777777777777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087729658792651E-2"/>
          <c:y val="6.9444444444444448E-2"/>
          <c:w val="0.84311023622047243"/>
          <c:h val="0.83309419655876349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'Лист1 (3)'!$C$6</c:f>
              <c:strCache>
                <c:ptCount val="1"/>
                <c:pt idx="0">
                  <c:v>Время ожид, Wn</c:v>
                </c:pt>
              </c:strCache>
            </c:strRef>
          </c:tx>
          <c:invertIfNegative val="0"/>
          <c:val>
            <c:numRef>
              <c:f>'Лист1 (3)'!$C$7:$C$16</c:f>
              <c:numCache>
                <c:formatCode>0.00</c:formatCode>
                <c:ptCount val="10"/>
                <c:pt idx="0">
                  <c:v>0</c:v>
                </c:pt>
                <c:pt idx="1">
                  <c:v>0.12306763030883289</c:v>
                </c:pt>
                <c:pt idx="2">
                  <c:v>0.42278866820542516</c:v>
                </c:pt>
                <c:pt idx="3">
                  <c:v>3.6863904924104518E-2</c:v>
                </c:pt>
                <c:pt idx="4">
                  <c:v>3.4777071086031786E-3</c:v>
                </c:pt>
                <c:pt idx="5">
                  <c:v>5.7790939954625087E-2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2"/>
          <c:order val="1"/>
          <c:tx>
            <c:strRef>
              <c:f>'Лист1 (3)'!$D$6</c:f>
              <c:strCache>
                <c:ptCount val="1"/>
                <c:pt idx="0">
                  <c:v>Время обслуж., Хn</c:v>
                </c:pt>
              </c:strCache>
            </c:strRef>
          </c:tx>
          <c:invertIfNegative val="0"/>
          <c:val>
            <c:numRef>
              <c:f>'Лист1 (3)'!$D$7:$D$16</c:f>
              <c:numCache>
                <c:formatCode>0.00</c:formatCode>
                <c:ptCount val="10"/>
                <c:pt idx="0">
                  <c:v>0.53553253520917454</c:v>
                </c:pt>
                <c:pt idx="1">
                  <c:v>1.4141234112004115</c:v>
                </c:pt>
                <c:pt idx="2">
                  <c:v>0.41230200639395403</c:v>
                </c:pt>
                <c:pt idx="3">
                  <c:v>0.10973370689463957</c:v>
                </c:pt>
                <c:pt idx="4">
                  <c:v>0.49437788988835268</c:v>
                </c:pt>
                <c:pt idx="5">
                  <c:v>7.4665597803332373E-2</c:v>
                </c:pt>
                <c:pt idx="6">
                  <c:v>0.11954939046166679</c:v>
                </c:pt>
                <c:pt idx="7">
                  <c:v>0.33909350049014003</c:v>
                </c:pt>
                <c:pt idx="8">
                  <c:v>1.6105349152168727E-2</c:v>
                </c:pt>
                <c:pt idx="9">
                  <c:v>0.41506370490842648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572800"/>
        <c:axId val="166574336"/>
      </c:barChart>
      <c:catAx>
        <c:axId val="166572800"/>
        <c:scaling>
          <c:orientation val="minMax"/>
        </c:scaling>
        <c:delete val="0"/>
        <c:axPos val="l"/>
        <c:majorTickMark val="out"/>
        <c:minorTickMark val="none"/>
        <c:tickLblPos val="nextTo"/>
        <c:crossAx val="166574336"/>
        <c:crosses val="autoZero"/>
        <c:auto val="1"/>
        <c:lblAlgn val="ctr"/>
        <c:lblOffset val="100"/>
        <c:noMultiLvlLbl val="0"/>
      </c:catAx>
      <c:valAx>
        <c:axId val="166574336"/>
        <c:scaling>
          <c:orientation val="minMax"/>
        </c:scaling>
        <c:delete val="0"/>
        <c:axPos val="b"/>
        <c:majorGridlines/>
        <c:numFmt formatCode="0.00" sourceLinked="1"/>
        <c:majorTickMark val="out"/>
        <c:minorTickMark val="none"/>
        <c:tickLblPos val="nextTo"/>
        <c:crossAx val="166572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4862642169728779"/>
          <c:y val="0.46720873432487608"/>
          <c:w val="0.32647688269735514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357611548556435E-2"/>
          <c:y val="5.0925925925925923E-2"/>
          <c:w val="0.46473818897637797"/>
          <c:h val="0.833094196558763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_2_канала!$I$5</c:f>
              <c:strCache>
                <c:ptCount val="1"/>
                <c:pt idx="0">
                  <c:v>Ожидание (ч:мм)</c:v>
                </c:pt>
              </c:strCache>
            </c:strRef>
          </c:tx>
          <c:invertIfNegative val="0"/>
          <c:cat>
            <c:numRef>
              <c:f>_2_канала!$B$7:$B$13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_2_канала!$I$6:$I$13</c:f>
              <c:numCache>
                <c:formatCode>h:mm;@</c:formatCode>
                <c:ptCount val="8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3.2657118848387623E-3</c:v>
                </c:pt>
                <c:pt idx="7">
                  <c:v>7.2339078426997272E-4</c:v>
                </c:pt>
              </c:numCache>
            </c:numRef>
          </c:val>
        </c:ser>
        <c:ser>
          <c:idx val="1"/>
          <c:order val="1"/>
          <c:tx>
            <c:strRef>
              <c:f>_2_канала!$D$5</c:f>
              <c:strCache>
                <c:ptCount val="1"/>
                <c:pt idx="0">
                  <c:v>Время обслуж.  (ч:мм)</c:v>
                </c:pt>
              </c:strCache>
            </c:strRef>
          </c:tx>
          <c:invertIfNegative val="0"/>
          <c:cat>
            <c:numRef>
              <c:f>_2_канала!$B$7:$B$13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_2_канала!$D$8:$D$13</c:f>
              <c:numCache>
                <c:formatCode>h:mm;@</c:formatCode>
                <c:ptCount val="6"/>
                <c:pt idx="0">
                  <c:v>5.0147752780827697E-4</c:v>
                </c:pt>
                <c:pt idx="1">
                  <c:v>1.4880742818585454E-2</c:v>
                </c:pt>
                <c:pt idx="2">
                  <c:v>6.9031471779592126E-4</c:v>
                </c:pt>
                <c:pt idx="3">
                  <c:v>4.3214912614592807E-3</c:v>
                </c:pt>
                <c:pt idx="4">
                  <c:v>8.8902987162372009E-4</c:v>
                </c:pt>
                <c:pt idx="5">
                  <c:v>1.403067703843237E-3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9155712"/>
        <c:axId val="329157248"/>
      </c:barChart>
      <c:catAx>
        <c:axId val="3291557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29157248"/>
        <c:crosses val="autoZero"/>
        <c:auto val="1"/>
        <c:lblAlgn val="ctr"/>
        <c:lblOffset val="100"/>
        <c:noMultiLvlLbl val="0"/>
      </c:catAx>
      <c:valAx>
        <c:axId val="32915724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329155712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sz="140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ЗУЗ_1!$C$10</c:f>
              <c:strCache>
                <c:ptCount val="1"/>
                <c:pt idx="0">
                  <c:v>Спрос, D</c:v>
                </c:pt>
              </c:strCache>
            </c:strRef>
          </c:tx>
          <c:marker>
            <c:symbol val="none"/>
          </c:marker>
          <c:val>
            <c:numRef>
              <c:f>ЗУЗ_1!$C$11:$C$25</c:f>
              <c:numCache>
                <c:formatCode>General</c:formatCode>
                <c:ptCount val="15"/>
                <c:pt idx="0">
                  <c:v>36</c:v>
                </c:pt>
                <c:pt idx="1">
                  <c:v>35</c:v>
                </c:pt>
                <c:pt idx="2">
                  <c:v>27</c:v>
                </c:pt>
                <c:pt idx="3">
                  <c:v>23</c:v>
                </c:pt>
                <c:pt idx="4">
                  <c:v>38</c:v>
                </c:pt>
                <c:pt idx="5">
                  <c:v>44</c:v>
                </c:pt>
                <c:pt idx="6">
                  <c:v>37</c:v>
                </c:pt>
                <c:pt idx="7">
                  <c:v>29</c:v>
                </c:pt>
                <c:pt idx="8">
                  <c:v>45</c:v>
                </c:pt>
                <c:pt idx="9">
                  <c:v>56</c:v>
                </c:pt>
                <c:pt idx="10">
                  <c:v>19</c:v>
                </c:pt>
                <c:pt idx="11">
                  <c:v>39</c:v>
                </c:pt>
                <c:pt idx="12">
                  <c:v>44</c:v>
                </c:pt>
                <c:pt idx="13">
                  <c:v>42</c:v>
                </c:pt>
                <c:pt idx="14">
                  <c:v>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960448"/>
        <c:axId val="327961984"/>
      </c:lineChart>
      <c:catAx>
        <c:axId val="327960448"/>
        <c:scaling>
          <c:orientation val="minMax"/>
        </c:scaling>
        <c:delete val="0"/>
        <c:axPos val="b"/>
        <c:majorTickMark val="out"/>
        <c:minorTickMark val="none"/>
        <c:tickLblPos val="nextTo"/>
        <c:crossAx val="327961984"/>
        <c:crosses val="autoZero"/>
        <c:auto val="1"/>
        <c:lblAlgn val="ctr"/>
        <c:lblOffset val="100"/>
        <c:noMultiLvlLbl val="0"/>
      </c:catAx>
      <c:valAx>
        <c:axId val="327961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79604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ЗУЗ_1!$B$10</c:f>
              <c:strCache>
                <c:ptCount val="1"/>
                <c:pt idx="0">
                  <c:v>Реализация</c:v>
                </c:pt>
              </c:strCache>
            </c:strRef>
          </c:tx>
          <c:val>
            <c:numRef>
              <c:f>ЗУЗ_1!$B$11:$B$25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ЗУЗ_1!$D$10</c:f>
              <c:strCache>
                <c:ptCount val="1"/>
                <c:pt idx="0">
                  <c:v>Издержки, С</c:v>
                </c:pt>
              </c:strCache>
            </c:strRef>
          </c:tx>
          <c:val>
            <c:numRef>
              <c:f>ЗУЗ_1!$D$11:$D$25</c:f>
              <c:numCache>
                <c:formatCode>General</c:formatCode>
                <c:ptCount val="15"/>
                <c:pt idx="0">
                  <c:v>840</c:v>
                </c:pt>
                <c:pt idx="1">
                  <c:v>900</c:v>
                </c:pt>
                <c:pt idx="2">
                  <c:v>1380</c:v>
                </c:pt>
                <c:pt idx="3">
                  <c:v>1620</c:v>
                </c:pt>
                <c:pt idx="4">
                  <c:v>720</c:v>
                </c:pt>
                <c:pt idx="5">
                  <c:v>360</c:v>
                </c:pt>
                <c:pt idx="6">
                  <c:v>780</c:v>
                </c:pt>
                <c:pt idx="7">
                  <c:v>1260</c:v>
                </c:pt>
                <c:pt idx="8">
                  <c:v>300</c:v>
                </c:pt>
                <c:pt idx="9">
                  <c:v>960</c:v>
                </c:pt>
                <c:pt idx="10">
                  <c:v>1860</c:v>
                </c:pt>
                <c:pt idx="11">
                  <c:v>660</c:v>
                </c:pt>
                <c:pt idx="12">
                  <c:v>360</c:v>
                </c:pt>
                <c:pt idx="13">
                  <c:v>480</c:v>
                </c:pt>
                <c:pt idx="14">
                  <c:v>420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997312"/>
        <c:axId val="327998848"/>
      </c:lineChart>
      <c:catAx>
        <c:axId val="327997312"/>
        <c:scaling>
          <c:orientation val="minMax"/>
        </c:scaling>
        <c:delete val="0"/>
        <c:axPos val="b"/>
        <c:majorTickMark val="out"/>
        <c:minorTickMark val="none"/>
        <c:tickLblPos val="nextTo"/>
        <c:crossAx val="327998848"/>
        <c:crosses val="autoZero"/>
        <c:auto val="1"/>
        <c:lblAlgn val="ctr"/>
        <c:lblOffset val="100"/>
        <c:noMultiLvlLbl val="0"/>
      </c:catAx>
      <c:valAx>
        <c:axId val="327998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79973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Ср. знач. издержек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cat>
            <c:numRef>
              <c:f>'ЗУЗ_1 (2)'!$F$5:$F$12</c:f>
              <c:numCache>
                <c:formatCode>General</c:formatCode>
                <c:ptCount val="8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</c:numCache>
            </c:numRef>
          </c:cat>
          <c:val>
            <c:numRef>
              <c:f>'ЗУЗ_1 (2)'!$G$5:$G$11</c:f>
              <c:numCache>
                <c:formatCode>#,##0\ "₽"</c:formatCode>
                <c:ptCount val="7"/>
                <c:pt idx="0">
                  <c:v>3033.3333333333335</c:v>
                </c:pt>
                <c:pt idx="1">
                  <c:v>2524</c:v>
                </c:pt>
                <c:pt idx="2">
                  <c:v>436</c:v>
                </c:pt>
                <c:pt idx="3">
                  <c:v>738.66666666666663</c:v>
                </c:pt>
                <c:pt idx="4">
                  <c:v>1424</c:v>
                </c:pt>
                <c:pt idx="5">
                  <c:v>1900</c:v>
                </c:pt>
                <c:pt idx="6">
                  <c:v>2532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334144"/>
        <c:axId val="329352320"/>
      </c:lineChart>
      <c:catAx>
        <c:axId val="329334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9352320"/>
        <c:crosses val="autoZero"/>
        <c:auto val="1"/>
        <c:lblAlgn val="ctr"/>
        <c:lblOffset val="100"/>
        <c:noMultiLvlLbl val="0"/>
      </c:catAx>
      <c:valAx>
        <c:axId val="329352320"/>
        <c:scaling>
          <c:orientation val="minMax"/>
        </c:scaling>
        <c:delete val="0"/>
        <c:axPos val="l"/>
        <c:majorGridlines/>
        <c:numFmt formatCode="#,##0\ &quot;₽&quot;" sourceLinked="1"/>
        <c:majorTickMark val="out"/>
        <c:minorTickMark val="none"/>
        <c:tickLblPos val="nextTo"/>
        <c:crossAx val="3293341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ЗУЗ_произв_сист!$C$11</c:f>
              <c:strCache>
                <c:ptCount val="1"/>
                <c:pt idx="0">
                  <c:v>Спрос, D</c:v>
                </c:pt>
              </c:strCache>
            </c:strRef>
          </c:tx>
          <c:marker>
            <c:symbol val="none"/>
          </c:marker>
          <c:val>
            <c:numRef>
              <c:f>ЗУЗ_произв_сист!$C$12:$C$26</c:f>
              <c:numCache>
                <c:formatCode>General</c:formatCode>
                <c:ptCount val="15"/>
                <c:pt idx="0">
                  <c:v>34</c:v>
                </c:pt>
                <c:pt idx="1">
                  <c:v>39</c:v>
                </c:pt>
                <c:pt idx="2">
                  <c:v>41</c:v>
                </c:pt>
                <c:pt idx="3">
                  <c:v>39</c:v>
                </c:pt>
                <c:pt idx="4">
                  <c:v>44</c:v>
                </c:pt>
                <c:pt idx="5">
                  <c:v>37</c:v>
                </c:pt>
                <c:pt idx="6">
                  <c:v>37</c:v>
                </c:pt>
                <c:pt idx="7">
                  <c:v>43</c:v>
                </c:pt>
                <c:pt idx="8">
                  <c:v>42</c:v>
                </c:pt>
                <c:pt idx="9">
                  <c:v>43</c:v>
                </c:pt>
                <c:pt idx="10">
                  <c:v>41</c:v>
                </c:pt>
                <c:pt idx="11">
                  <c:v>42</c:v>
                </c:pt>
                <c:pt idx="12">
                  <c:v>42</c:v>
                </c:pt>
                <c:pt idx="13">
                  <c:v>47</c:v>
                </c:pt>
                <c:pt idx="14">
                  <c:v>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407104"/>
        <c:axId val="329412992"/>
      </c:lineChart>
      <c:catAx>
        <c:axId val="329407104"/>
        <c:scaling>
          <c:orientation val="minMax"/>
        </c:scaling>
        <c:delete val="0"/>
        <c:axPos val="b"/>
        <c:majorTickMark val="out"/>
        <c:minorTickMark val="none"/>
        <c:tickLblPos val="nextTo"/>
        <c:crossAx val="329412992"/>
        <c:crosses val="autoZero"/>
        <c:auto val="1"/>
        <c:lblAlgn val="ctr"/>
        <c:lblOffset val="100"/>
        <c:noMultiLvlLbl val="0"/>
      </c:catAx>
      <c:valAx>
        <c:axId val="329412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94071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ЗУЗ_произв_сист!$B$11</c:f>
              <c:strCache>
                <c:ptCount val="1"/>
                <c:pt idx="0">
                  <c:v>Период</c:v>
                </c:pt>
              </c:strCache>
            </c:strRef>
          </c:tx>
          <c:val>
            <c:numRef>
              <c:f>ЗУЗ_произв_сист!$B$12:$B$26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ЗУЗ_произв_сист!$E$11</c:f>
              <c:strCache>
                <c:ptCount val="1"/>
                <c:pt idx="0">
                  <c:v>Издержки, С</c:v>
                </c:pt>
              </c:strCache>
            </c:strRef>
          </c:tx>
          <c:val>
            <c:numRef>
              <c:f>ЗУЗ_произв_сист!$E$12:$E$26</c:f>
              <c:numCache>
                <c:formatCode>General</c:formatCode>
                <c:ptCount val="15"/>
                <c:pt idx="0">
                  <c:v>660</c:v>
                </c:pt>
                <c:pt idx="1">
                  <c:v>720</c:v>
                </c:pt>
                <c:pt idx="2">
                  <c:v>660</c:v>
                </c:pt>
                <c:pt idx="3">
                  <c:v>720</c:v>
                </c:pt>
                <c:pt idx="4">
                  <c:v>480</c:v>
                </c:pt>
                <c:pt idx="5">
                  <c:v>660</c:v>
                </c:pt>
                <c:pt idx="6">
                  <c:v>840</c:v>
                </c:pt>
                <c:pt idx="7">
                  <c:v>660</c:v>
                </c:pt>
                <c:pt idx="8">
                  <c:v>540</c:v>
                </c:pt>
                <c:pt idx="9">
                  <c:v>360</c:v>
                </c:pt>
                <c:pt idx="10">
                  <c:v>300</c:v>
                </c:pt>
                <c:pt idx="11">
                  <c:v>180</c:v>
                </c:pt>
                <c:pt idx="12">
                  <c:v>60</c:v>
                </c:pt>
                <c:pt idx="13">
                  <c:v>960</c:v>
                </c:pt>
                <c:pt idx="14">
                  <c:v>320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438720"/>
        <c:axId val="329440256"/>
      </c:lineChart>
      <c:catAx>
        <c:axId val="329438720"/>
        <c:scaling>
          <c:orientation val="minMax"/>
        </c:scaling>
        <c:delete val="0"/>
        <c:axPos val="b"/>
        <c:majorTickMark val="out"/>
        <c:minorTickMark val="none"/>
        <c:tickLblPos val="nextTo"/>
        <c:crossAx val="329440256"/>
        <c:crosses val="autoZero"/>
        <c:auto val="1"/>
        <c:lblAlgn val="ctr"/>
        <c:lblOffset val="100"/>
        <c:noMultiLvlLbl val="0"/>
      </c:catAx>
      <c:valAx>
        <c:axId val="329440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94387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ЗУЗ_период_подача!$D$13</c:f>
              <c:strCache>
                <c:ptCount val="1"/>
                <c:pt idx="0">
                  <c:v>Запас на начало периода</c:v>
                </c:pt>
              </c:strCache>
            </c:strRef>
          </c:tx>
          <c:spPr>
            <a:ln w="60325"/>
          </c:spPr>
          <c:marker>
            <c:symbol val="none"/>
          </c:marker>
          <c:val>
            <c:numRef>
              <c:f>ЗУЗ_период_подача!$D$14:$D$29</c:f>
              <c:numCache>
                <c:formatCode>General</c:formatCode>
                <c:ptCount val="16"/>
                <c:pt idx="1">
                  <c:v>100</c:v>
                </c:pt>
                <c:pt idx="2">
                  <c:v>56</c:v>
                </c:pt>
                <c:pt idx="3">
                  <c:v>7</c:v>
                </c:pt>
                <c:pt idx="4">
                  <c:v>0</c:v>
                </c:pt>
                <c:pt idx="5">
                  <c:v>100</c:v>
                </c:pt>
                <c:pt idx="6">
                  <c:v>65</c:v>
                </c:pt>
                <c:pt idx="7">
                  <c:v>22</c:v>
                </c:pt>
                <c:pt idx="8">
                  <c:v>0</c:v>
                </c:pt>
                <c:pt idx="9">
                  <c:v>0</c:v>
                </c:pt>
                <c:pt idx="10">
                  <c:v>100</c:v>
                </c:pt>
                <c:pt idx="11">
                  <c:v>64</c:v>
                </c:pt>
                <c:pt idx="12">
                  <c:v>15</c:v>
                </c:pt>
                <c:pt idx="13">
                  <c:v>0</c:v>
                </c:pt>
                <c:pt idx="14">
                  <c:v>0</c:v>
                </c:pt>
                <c:pt idx="15">
                  <c:v>100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534464"/>
        <c:axId val="330056448"/>
      </c:lineChart>
      <c:catAx>
        <c:axId val="329534464"/>
        <c:scaling>
          <c:orientation val="minMax"/>
        </c:scaling>
        <c:delete val="0"/>
        <c:axPos val="b"/>
        <c:majorTickMark val="out"/>
        <c:minorTickMark val="none"/>
        <c:tickLblPos val="nextTo"/>
        <c:crossAx val="330056448"/>
        <c:crosses val="autoZero"/>
        <c:auto val="1"/>
        <c:lblAlgn val="ctr"/>
        <c:lblOffset val="100"/>
        <c:noMultiLvlLbl val="0"/>
      </c:catAx>
      <c:valAx>
        <c:axId val="330056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9534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ЗУЗ_пороговая_подача!$D$13</c:f>
              <c:strCache>
                <c:ptCount val="1"/>
                <c:pt idx="0">
                  <c:v>Запас на начало периода</c:v>
                </c:pt>
              </c:strCache>
            </c:strRef>
          </c:tx>
          <c:spPr>
            <a:ln w="60325"/>
          </c:spPr>
          <c:marker>
            <c:symbol val="none"/>
          </c:marker>
          <c:val>
            <c:numRef>
              <c:f>ЗУЗ_пороговая_подача!$D$14:$D$29</c:f>
              <c:numCache>
                <c:formatCode>General</c:formatCode>
                <c:ptCount val="16"/>
                <c:pt idx="1">
                  <c:v>100</c:v>
                </c:pt>
                <c:pt idx="2">
                  <c:v>58</c:v>
                </c:pt>
                <c:pt idx="3">
                  <c:v>25</c:v>
                </c:pt>
                <c:pt idx="4">
                  <c:v>100</c:v>
                </c:pt>
                <c:pt idx="5">
                  <c:v>70</c:v>
                </c:pt>
                <c:pt idx="6">
                  <c:v>30</c:v>
                </c:pt>
                <c:pt idx="7">
                  <c:v>100</c:v>
                </c:pt>
                <c:pt idx="8">
                  <c:v>53</c:v>
                </c:pt>
                <c:pt idx="9">
                  <c:v>108</c:v>
                </c:pt>
                <c:pt idx="10">
                  <c:v>75</c:v>
                </c:pt>
                <c:pt idx="11">
                  <c:v>38</c:v>
                </c:pt>
                <c:pt idx="12">
                  <c:v>110</c:v>
                </c:pt>
                <c:pt idx="13">
                  <c:v>65</c:v>
                </c:pt>
                <c:pt idx="14">
                  <c:v>36</c:v>
                </c:pt>
                <c:pt idx="15">
                  <c:v>106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091904"/>
        <c:axId val="330380416"/>
      </c:lineChart>
      <c:catAx>
        <c:axId val="33009190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ru-RU"/>
          </a:p>
        </c:txPr>
        <c:crossAx val="330380416"/>
        <c:crosses val="autoZero"/>
        <c:auto val="1"/>
        <c:lblAlgn val="ctr"/>
        <c:lblOffset val="100"/>
        <c:noMultiLvlLbl val="0"/>
      </c:catAx>
      <c:valAx>
        <c:axId val="330380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2000"/>
            </a:pPr>
            <a:endParaRPr lang="ru-RU"/>
          </a:p>
        </c:txPr>
        <c:crossAx val="3300919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161925</xdr:rowOff>
    </xdr:from>
    <xdr:to>
      <xdr:col>3</xdr:col>
      <xdr:colOff>285750</xdr:colOff>
      <xdr:row>17</xdr:row>
      <xdr:rowOff>238125</xdr:rowOff>
    </xdr:to>
    <xdr:sp macro="" textlink="">
      <xdr:nvSpPr>
        <xdr:cNvPr id="5" name="Скругленная прямоугольная выноска 4"/>
        <xdr:cNvSpPr/>
      </xdr:nvSpPr>
      <xdr:spPr>
        <a:xfrm>
          <a:off x="333375" y="5181600"/>
          <a:ext cx="1933575" cy="333375"/>
        </a:xfrm>
        <a:prstGeom prst="wedgeRoundRectCallout">
          <a:avLst>
            <a:gd name="adj1" fmla="val 10201"/>
            <a:gd name="adj2" fmla="val -746072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F7&gt;0;F7;0)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371475</xdr:colOff>
      <xdr:row>18</xdr:row>
      <xdr:rowOff>238125</xdr:rowOff>
    </xdr:from>
    <xdr:to>
      <xdr:col>4</xdr:col>
      <xdr:colOff>838200</xdr:colOff>
      <xdr:row>20</xdr:row>
      <xdr:rowOff>57150</xdr:rowOff>
    </xdr:to>
    <xdr:sp macro="" textlink="">
      <xdr:nvSpPr>
        <xdr:cNvPr id="6" name="Скругленная прямоугольная выноска 5"/>
        <xdr:cNvSpPr/>
      </xdr:nvSpPr>
      <xdr:spPr>
        <a:xfrm>
          <a:off x="1743075" y="5772150"/>
          <a:ext cx="2143125" cy="333375"/>
        </a:xfrm>
        <a:prstGeom prst="wedgeRoundRectCallout">
          <a:avLst>
            <a:gd name="adj1" fmla="val -20129"/>
            <a:gd name="adj2" fmla="val -1031787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=-$F$2*LN(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СЛЧИС())</a:t>
          </a:r>
        </a:p>
      </xdr:txBody>
    </xdr:sp>
    <xdr:clientData/>
  </xdr:twoCellAnchor>
  <xdr:twoCellAnchor>
    <xdr:from>
      <xdr:col>4</xdr:col>
      <xdr:colOff>419100</xdr:colOff>
      <xdr:row>17</xdr:row>
      <xdr:rowOff>104775</xdr:rowOff>
    </xdr:from>
    <xdr:to>
      <xdr:col>5</xdr:col>
      <xdr:colOff>628650</xdr:colOff>
      <xdr:row>18</xdr:row>
      <xdr:rowOff>180975</xdr:rowOff>
    </xdr:to>
    <xdr:sp macro="" textlink="">
      <xdr:nvSpPr>
        <xdr:cNvPr id="7" name="Скругленная прямоугольная выноска 6"/>
        <xdr:cNvSpPr/>
      </xdr:nvSpPr>
      <xdr:spPr>
        <a:xfrm>
          <a:off x="3467100" y="5381625"/>
          <a:ext cx="2143125" cy="333375"/>
        </a:xfrm>
        <a:prstGeom prst="wedgeRoundRectCallout">
          <a:avLst>
            <a:gd name="adj1" fmla="val -7684"/>
            <a:gd name="adj2" fmla="val -903215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=-$F$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*LN(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СЛЧИС())</a:t>
          </a:r>
        </a:p>
      </xdr:txBody>
    </xdr:sp>
    <xdr:clientData/>
  </xdr:twoCellAnchor>
  <xdr:twoCellAnchor>
    <xdr:from>
      <xdr:col>5</xdr:col>
      <xdr:colOff>390526</xdr:colOff>
      <xdr:row>18</xdr:row>
      <xdr:rowOff>228600</xdr:rowOff>
    </xdr:from>
    <xdr:to>
      <xdr:col>7</xdr:col>
      <xdr:colOff>581026</xdr:colOff>
      <xdr:row>20</xdr:row>
      <xdr:rowOff>47625</xdr:rowOff>
    </xdr:to>
    <xdr:sp macro="" textlink="">
      <xdr:nvSpPr>
        <xdr:cNvPr id="8" name="Скругленная прямоугольная выноска 7"/>
        <xdr:cNvSpPr/>
      </xdr:nvSpPr>
      <xdr:spPr>
        <a:xfrm>
          <a:off x="5372101" y="5762625"/>
          <a:ext cx="1866900" cy="333375"/>
        </a:xfrm>
        <a:prstGeom prst="wedgeRoundRectCallout">
          <a:avLst>
            <a:gd name="adj1" fmla="val -52072"/>
            <a:gd name="adj2" fmla="val -1003215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C7:D7)-E7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161925</xdr:rowOff>
    </xdr:from>
    <xdr:to>
      <xdr:col>3</xdr:col>
      <xdr:colOff>285750</xdr:colOff>
      <xdr:row>17</xdr:row>
      <xdr:rowOff>238125</xdr:rowOff>
    </xdr:to>
    <xdr:sp macro="" textlink="">
      <xdr:nvSpPr>
        <xdr:cNvPr id="2" name="Скругленная прямоугольная выноска 1"/>
        <xdr:cNvSpPr/>
      </xdr:nvSpPr>
      <xdr:spPr>
        <a:xfrm>
          <a:off x="333375" y="5181600"/>
          <a:ext cx="1933575" cy="333375"/>
        </a:xfrm>
        <a:prstGeom prst="wedgeRoundRectCallout">
          <a:avLst>
            <a:gd name="adj1" fmla="val 10201"/>
            <a:gd name="adj2" fmla="val -746072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F7&gt;0;F7;0)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371475</xdr:colOff>
      <xdr:row>18</xdr:row>
      <xdr:rowOff>238125</xdr:rowOff>
    </xdr:from>
    <xdr:to>
      <xdr:col>4</xdr:col>
      <xdr:colOff>838200</xdr:colOff>
      <xdr:row>20</xdr:row>
      <xdr:rowOff>57150</xdr:rowOff>
    </xdr:to>
    <xdr:sp macro="" textlink="">
      <xdr:nvSpPr>
        <xdr:cNvPr id="3" name="Скругленная прямоугольная выноска 2"/>
        <xdr:cNvSpPr/>
      </xdr:nvSpPr>
      <xdr:spPr>
        <a:xfrm>
          <a:off x="1743075" y="5772150"/>
          <a:ext cx="2143125" cy="333375"/>
        </a:xfrm>
        <a:prstGeom prst="wedgeRoundRectCallout">
          <a:avLst>
            <a:gd name="adj1" fmla="val -20129"/>
            <a:gd name="adj2" fmla="val -1031787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=-$F$2*LN(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СЛЧИС())</a:t>
          </a:r>
        </a:p>
      </xdr:txBody>
    </xdr:sp>
    <xdr:clientData/>
  </xdr:twoCellAnchor>
  <xdr:twoCellAnchor>
    <xdr:from>
      <xdr:col>4</xdr:col>
      <xdr:colOff>419100</xdr:colOff>
      <xdr:row>17</xdr:row>
      <xdr:rowOff>104775</xdr:rowOff>
    </xdr:from>
    <xdr:to>
      <xdr:col>5</xdr:col>
      <xdr:colOff>628650</xdr:colOff>
      <xdr:row>18</xdr:row>
      <xdr:rowOff>180975</xdr:rowOff>
    </xdr:to>
    <xdr:sp macro="" textlink="">
      <xdr:nvSpPr>
        <xdr:cNvPr id="4" name="Скругленная прямоугольная выноска 3"/>
        <xdr:cNvSpPr/>
      </xdr:nvSpPr>
      <xdr:spPr>
        <a:xfrm>
          <a:off x="3467100" y="5381625"/>
          <a:ext cx="2143125" cy="333375"/>
        </a:xfrm>
        <a:prstGeom prst="wedgeRoundRectCallout">
          <a:avLst>
            <a:gd name="adj1" fmla="val -7684"/>
            <a:gd name="adj2" fmla="val -903215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=-$F$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*LN(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СЛЧИС())</a:t>
          </a:r>
        </a:p>
      </xdr:txBody>
    </xdr:sp>
    <xdr:clientData/>
  </xdr:twoCellAnchor>
  <xdr:twoCellAnchor>
    <xdr:from>
      <xdr:col>5</xdr:col>
      <xdr:colOff>390526</xdr:colOff>
      <xdr:row>18</xdr:row>
      <xdr:rowOff>228600</xdr:rowOff>
    </xdr:from>
    <xdr:to>
      <xdr:col>7</xdr:col>
      <xdr:colOff>581026</xdr:colOff>
      <xdr:row>20</xdr:row>
      <xdr:rowOff>47625</xdr:rowOff>
    </xdr:to>
    <xdr:sp macro="" textlink="">
      <xdr:nvSpPr>
        <xdr:cNvPr id="5" name="Скругленная прямоугольная выноска 4"/>
        <xdr:cNvSpPr/>
      </xdr:nvSpPr>
      <xdr:spPr>
        <a:xfrm>
          <a:off x="5372101" y="5762625"/>
          <a:ext cx="1866900" cy="333375"/>
        </a:xfrm>
        <a:prstGeom prst="wedgeRoundRectCallout">
          <a:avLst>
            <a:gd name="adj1" fmla="val -52072"/>
            <a:gd name="adj2" fmla="val -1003215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C7:D7)-E7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228601</xdr:colOff>
      <xdr:row>5</xdr:row>
      <xdr:rowOff>390525</xdr:rowOff>
    </xdr:from>
    <xdr:to>
      <xdr:col>12</xdr:col>
      <xdr:colOff>285751</xdr:colOff>
      <xdr:row>14</xdr:row>
      <xdr:rowOff>47625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1114425</xdr:colOff>
      <xdr:row>16</xdr:row>
      <xdr:rowOff>209550</xdr:rowOff>
    </xdr:from>
    <xdr:to>
      <xdr:col>10</xdr:col>
      <xdr:colOff>219075</xdr:colOff>
      <xdr:row>17</xdr:row>
      <xdr:rowOff>304800</xdr:rowOff>
    </xdr:to>
    <xdr:sp macro="" textlink="">
      <xdr:nvSpPr>
        <xdr:cNvPr id="2" name="Скругленная прямоугольная выноска 1"/>
        <xdr:cNvSpPr/>
      </xdr:nvSpPr>
      <xdr:spPr>
        <a:xfrm>
          <a:off x="5981700" y="5334000"/>
          <a:ext cx="3419475" cy="352425"/>
        </a:xfrm>
        <a:prstGeom prst="wedgeRoundRectCallout">
          <a:avLst>
            <a:gd name="adj1" fmla="val 19671"/>
            <a:gd name="adj2" fmla="val -658230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E8-C9)&gt;0;(E8-C9)/1440;0)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838200</xdr:colOff>
      <xdr:row>15</xdr:row>
      <xdr:rowOff>0</xdr:rowOff>
    </xdr:from>
    <xdr:to>
      <xdr:col>8</xdr:col>
      <xdr:colOff>685800</xdr:colOff>
      <xdr:row>16</xdr:row>
      <xdr:rowOff>76200</xdr:rowOff>
    </xdr:to>
    <xdr:sp macro="" textlink="">
      <xdr:nvSpPr>
        <xdr:cNvPr id="11" name="Скругленная прямоугольная выноска 10"/>
        <xdr:cNvSpPr/>
      </xdr:nvSpPr>
      <xdr:spPr>
        <a:xfrm>
          <a:off x="6705600" y="4867275"/>
          <a:ext cx="762000" cy="333375"/>
        </a:xfrm>
        <a:prstGeom prst="wedgeRoundRectCallout">
          <a:avLst>
            <a:gd name="adj1" fmla="val -1284"/>
            <a:gd name="adj2" fmla="val -623215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=F8+G8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981075</xdr:colOff>
      <xdr:row>15</xdr:row>
      <xdr:rowOff>76200</xdr:rowOff>
    </xdr:from>
    <xdr:to>
      <xdr:col>6</xdr:col>
      <xdr:colOff>533400</xdr:colOff>
      <xdr:row>16</xdr:row>
      <xdr:rowOff>152400</xdr:rowOff>
    </xdr:to>
    <xdr:sp macro="" textlink="">
      <xdr:nvSpPr>
        <xdr:cNvPr id="12" name="Скругленная прямоугольная выноска 11"/>
        <xdr:cNvSpPr/>
      </xdr:nvSpPr>
      <xdr:spPr>
        <a:xfrm>
          <a:off x="5848350" y="4943475"/>
          <a:ext cx="762000" cy="333375"/>
        </a:xfrm>
        <a:prstGeom prst="wedgeRoundRectCallout">
          <a:avLst>
            <a:gd name="adj1" fmla="val 19966"/>
            <a:gd name="adj2" fmla="val -586072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=J8+I8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552449</xdr:colOff>
      <xdr:row>14</xdr:row>
      <xdr:rowOff>180975</xdr:rowOff>
    </xdr:from>
    <xdr:to>
      <xdr:col>3</xdr:col>
      <xdr:colOff>342900</xdr:colOff>
      <xdr:row>16</xdr:row>
      <xdr:rowOff>0</xdr:rowOff>
    </xdr:to>
    <xdr:sp macro="" textlink="">
      <xdr:nvSpPr>
        <xdr:cNvPr id="13" name="Скругленная прямоугольная выноска 12"/>
        <xdr:cNvSpPr/>
      </xdr:nvSpPr>
      <xdr:spPr>
        <a:xfrm>
          <a:off x="552449" y="4791075"/>
          <a:ext cx="2305051" cy="333375"/>
        </a:xfrm>
        <a:prstGeom prst="wedgeRoundRectCallout">
          <a:avLst>
            <a:gd name="adj1" fmla="val -1005"/>
            <a:gd name="adj2" fmla="val -500357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=-$F$3*LN(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СЛЧИС())</a:t>
          </a:r>
        </a:p>
      </xdr:txBody>
    </xdr:sp>
    <xdr:clientData/>
  </xdr:twoCellAnchor>
  <xdr:twoCellAnchor>
    <xdr:from>
      <xdr:col>3</xdr:col>
      <xdr:colOff>104776</xdr:colOff>
      <xdr:row>16</xdr:row>
      <xdr:rowOff>85725</xdr:rowOff>
    </xdr:from>
    <xdr:to>
      <xdr:col>4</xdr:col>
      <xdr:colOff>314326</xdr:colOff>
      <xdr:row>17</xdr:row>
      <xdr:rowOff>161925</xdr:rowOff>
    </xdr:to>
    <xdr:sp macro="" textlink="">
      <xdr:nvSpPr>
        <xdr:cNvPr id="14" name="Скругленная прямоугольная выноска 13"/>
        <xdr:cNvSpPr/>
      </xdr:nvSpPr>
      <xdr:spPr>
        <a:xfrm>
          <a:off x="2409826" y="5210175"/>
          <a:ext cx="1276350" cy="333375"/>
        </a:xfrm>
        <a:prstGeom prst="wedgeRoundRectCallout">
          <a:avLst>
            <a:gd name="adj1" fmla="val -38294"/>
            <a:gd name="adj2" fmla="val -654643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=D8+C9/1440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742950</xdr:colOff>
      <xdr:row>14</xdr:row>
      <xdr:rowOff>209550</xdr:rowOff>
    </xdr:from>
    <xdr:to>
      <xdr:col>5</xdr:col>
      <xdr:colOff>619125</xdr:colOff>
      <xdr:row>16</xdr:row>
      <xdr:rowOff>28575</xdr:rowOff>
    </xdr:to>
    <xdr:sp macro="" textlink="">
      <xdr:nvSpPr>
        <xdr:cNvPr id="15" name="Скругленная прямоугольная выноска 14"/>
        <xdr:cNvSpPr/>
      </xdr:nvSpPr>
      <xdr:spPr>
        <a:xfrm>
          <a:off x="3048000" y="4819650"/>
          <a:ext cx="2228850" cy="333375"/>
        </a:xfrm>
        <a:prstGeom prst="wedgeRoundRectCallout">
          <a:avLst>
            <a:gd name="adj1" fmla="val -32738"/>
            <a:gd name="adj2" fmla="val -603215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=-$F$2*LN(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СЛЧИС())</a:t>
          </a:r>
        </a:p>
      </xdr:txBody>
    </xdr:sp>
    <xdr:clientData/>
  </xdr:twoCellAnchor>
  <xdr:twoCellAnchor>
    <xdr:from>
      <xdr:col>4</xdr:col>
      <xdr:colOff>876300</xdr:colOff>
      <xdr:row>17</xdr:row>
      <xdr:rowOff>28575</xdr:rowOff>
    </xdr:from>
    <xdr:to>
      <xdr:col>5</xdr:col>
      <xdr:colOff>866775</xdr:colOff>
      <xdr:row>17</xdr:row>
      <xdr:rowOff>333375</xdr:rowOff>
    </xdr:to>
    <xdr:sp macro="" textlink="">
      <xdr:nvSpPr>
        <xdr:cNvPr id="16" name="Скругленная прямоугольная выноска 15"/>
        <xdr:cNvSpPr/>
      </xdr:nvSpPr>
      <xdr:spPr>
        <a:xfrm>
          <a:off x="4457700" y="5410200"/>
          <a:ext cx="1276350" cy="304800"/>
        </a:xfrm>
        <a:prstGeom prst="wedgeRoundRectCallout">
          <a:avLst>
            <a:gd name="adj1" fmla="val 55736"/>
            <a:gd name="adj2" fmla="val -325536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=E14/1440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190499</xdr:colOff>
      <xdr:row>16</xdr:row>
      <xdr:rowOff>228600</xdr:rowOff>
    </xdr:from>
    <xdr:to>
      <xdr:col>9</xdr:col>
      <xdr:colOff>428625</xdr:colOff>
      <xdr:row>17</xdr:row>
      <xdr:rowOff>247650</xdr:rowOff>
    </xdr:to>
    <xdr:sp macro="" textlink="">
      <xdr:nvSpPr>
        <xdr:cNvPr id="5" name="Выноска 1 4"/>
        <xdr:cNvSpPr/>
      </xdr:nvSpPr>
      <xdr:spPr>
        <a:xfrm>
          <a:off x="1543049" y="5010150"/>
          <a:ext cx="6086476" cy="276225"/>
        </a:xfrm>
        <a:prstGeom prst="borderCallout1">
          <a:avLst>
            <a:gd name="adj1" fmla="val -8697"/>
            <a:gd name="adj2" fmla="val 37031"/>
            <a:gd name="adj3" fmla="val -947837"/>
            <a:gd name="adj4" fmla="val 30564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=ЕСЛИ(МАКС(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F$7:F7)&lt;=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МАКС(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H$7:H7);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МАКС(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F$7:F7;C8);"")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619125</xdr:colOff>
      <xdr:row>15</xdr:row>
      <xdr:rowOff>85725</xdr:rowOff>
    </xdr:from>
    <xdr:to>
      <xdr:col>8</xdr:col>
      <xdr:colOff>742950</xdr:colOff>
      <xdr:row>16</xdr:row>
      <xdr:rowOff>104775</xdr:rowOff>
    </xdr:to>
    <xdr:sp macro="" textlink="">
      <xdr:nvSpPr>
        <xdr:cNvPr id="6" name="Выноска 1 5"/>
        <xdr:cNvSpPr/>
      </xdr:nvSpPr>
      <xdr:spPr>
        <a:xfrm>
          <a:off x="3790950" y="4610100"/>
          <a:ext cx="3067050" cy="276225"/>
        </a:xfrm>
        <a:prstGeom prst="borderCallout1">
          <a:avLst>
            <a:gd name="adj1" fmla="val 8544"/>
            <a:gd name="adj2" fmla="val 10205"/>
            <a:gd name="adj3" fmla="val -813354"/>
            <a:gd name="adj4" fmla="val 10230"/>
          </a:avLst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=ЕСЛИ(ЕТЕКСТ(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E8);"";E8+D8)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390525</xdr:colOff>
      <xdr:row>2</xdr:row>
      <xdr:rowOff>0</xdr:rowOff>
    </xdr:from>
    <xdr:to>
      <xdr:col>12</xdr:col>
      <xdr:colOff>228600</xdr:colOff>
      <xdr:row>2</xdr:row>
      <xdr:rowOff>276225</xdr:rowOff>
    </xdr:to>
    <xdr:sp macro="" textlink="">
      <xdr:nvSpPr>
        <xdr:cNvPr id="7" name="Выноска 1 6"/>
        <xdr:cNvSpPr/>
      </xdr:nvSpPr>
      <xdr:spPr>
        <a:xfrm>
          <a:off x="5838825" y="571500"/>
          <a:ext cx="3419475" cy="276225"/>
        </a:xfrm>
        <a:prstGeom prst="borderCallout1">
          <a:avLst>
            <a:gd name="adj1" fmla="val 94751"/>
            <a:gd name="adj2" fmla="val 48367"/>
            <a:gd name="adj3" fmla="val 669404"/>
            <a:gd name="adj4" fmla="val 16464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r>
            <a:rPr lang="ru-RU" sz="16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=ЕСЛИ(ЕТЕКСТ(</a:t>
          </a:r>
          <a:r>
            <a:rPr lang="en-US" sz="16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E8);G8-C8;E8-C8)</a:t>
          </a:r>
          <a:endParaRPr lang="ru-RU" sz="1600">
            <a:solidFill>
              <a:schemeClr val="tx1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161925</xdr:colOff>
      <xdr:row>13</xdr:row>
      <xdr:rowOff>142875</xdr:rowOff>
    </xdr:from>
    <xdr:to>
      <xdr:col>4</xdr:col>
      <xdr:colOff>57150</xdr:colOff>
      <xdr:row>14</xdr:row>
      <xdr:rowOff>161925</xdr:rowOff>
    </xdr:to>
    <xdr:sp macro="" textlink="">
      <xdr:nvSpPr>
        <xdr:cNvPr id="8" name="Выноска 1 7"/>
        <xdr:cNvSpPr/>
      </xdr:nvSpPr>
      <xdr:spPr>
        <a:xfrm>
          <a:off x="161925" y="4152900"/>
          <a:ext cx="3067050" cy="276225"/>
        </a:xfrm>
        <a:prstGeom prst="borderCallout1">
          <a:avLst>
            <a:gd name="adj1" fmla="val -8697"/>
            <a:gd name="adj2" fmla="val 37031"/>
            <a:gd name="adj3" fmla="val -651285"/>
            <a:gd name="adj4" fmla="val 50439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=C7+(-$F$2*LN(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СЛЧИС()))/1440</a:t>
          </a:r>
        </a:p>
      </xdr:txBody>
    </xdr:sp>
    <xdr:clientData/>
  </xdr:twoCellAnchor>
  <xdr:twoCellAnchor>
    <xdr:from>
      <xdr:col>1</xdr:col>
      <xdr:colOff>542925</xdr:colOff>
      <xdr:row>15</xdr:row>
      <xdr:rowOff>9525</xdr:rowOff>
    </xdr:from>
    <xdr:to>
      <xdr:col>4</xdr:col>
      <xdr:colOff>523875</xdr:colOff>
      <xdr:row>16</xdr:row>
      <xdr:rowOff>28575</xdr:rowOff>
    </xdr:to>
    <xdr:sp macro="" textlink="">
      <xdr:nvSpPr>
        <xdr:cNvPr id="9" name="Выноска 1 8"/>
        <xdr:cNvSpPr/>
      </xdr:nvSpPr>
      <xdr:spPr>
        <a:xfrm>
          <a:off x="1152525" y="4533900"/>
          <a:ext cx="2543175" cy="276225"/>
        </a:xfrm>
        <a:prstGeom prst="borderCallout1">
          <a:avLst>
            <a:gd name="adj1" fmla="val -8697"/>
            <a:gd name="adj2" fmla="val 92733"/>
            <a:gd name="adj3" fmla="val -765078"/>
            <a:gd name="adj4" fmla="val 5889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=-$F$3*LN(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СЛЧИС())/1440</a:t>
          </a:r>
        </a:p>
      </xdr:txBody>
    </xdr:sp>
    <xdr:clientData/>
  </xdr:twoCellAnchor>
  <xdr:twoCellAnchor>
    <xdr:from>
      <xdr:col>5</xdr:col>
      <xdr:colOff>171450</xdr:colOff>
      <xdr:row>13</xdr:row>
      <xdr:rowOff>114300</xdr:rowOff>
    </xdr:from>
    <xdr:to>
      <xdr:col>13</xdr:col>
      <xdr:colOff>504825</xdr:colOff>
      <xdr:row>14</xdr:row>
      <xdr:rowOff>133350</xdr:rowOff>
    </xdr:to>
    <xdr:sp macro="" textlink="">
      <xdr:nvSpPr>
        <xdr:cNvPr id="10" name="Выноска 1 9"/>
        <xdr:cNvSpPr/>
      </xdr:nvSpPr>
      <xdr:spPr>
        <a:xfrm>
          <a:off x="4143375" y="4124325"/>
          <a:ext cx="6000750" cy="276225"/>
        </a:xfrm>
        <a:prstGeom prst="borderCallout1">
          <a:avLst>
            <a:gd name="adj1" fmla="val 8544"/>
            <a:gd name="adj2" fmla="val 10205"/>
            <a:gd name="adj3" fmla="val -637492"/>
            <a:gd name="adj4" fmla="val 13322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=ЕСЛИ(МАКС(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F$7:F7)&gt;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МАКС(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H$7:H7);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МАКС(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H$7:H7;C8);"")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85725</xdr:colOff>
      <xdr:row>0</xdr:row>
      <xdr:rowOff>142875</xdr:rowOff>
    </xdr:from>
    <xdr:to>
      <xdr:col>11</xdr:col>
      <xdr:colOff>228600</xdr:colOff>
      <xdr:row>1</xdr:row>
      <xdr:rowOff>152400</xdr:rowOff>
    </xdr:to>
    <xdr:sp macro="" textlink="">
      <xdr:nvSpPr>
        <xdr:cNvPr id="11" name="Выноска 1 10"/>
        <xdr:cNvSpPr/>
      </xdr:nvSpPr>
      <xdr:spPr>
        <a:xfrm>
          <a:off x="5534025" y="142875"/>
          <a:ext cx="3114675" cy="276225"/>
        </a:xfrm>
        <a:prstGeom prst="borderCallout1">
          <a:avLst>
            <a:gd name="adj1" fmla="val 98199"/>
            <a:gd name="adj2" fmla="val 18398"/>
            <a:gd name="adj3" fmla="val 814232"/>
            <a:gd name="adj4" fmla="val 2861"/>
          </a:avLst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r>
            <a:rPr lang="ru-RU" sz="16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=ЕСЛИ(ЕТЕКСТ(</a:t>
          </a:r>
          <a:r>
            <a:rPr lang="en-US" sz="16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G8);"";G8+D8)</a:t>
          </a:r>
          <a:endParaRPr lang="ru-RU" sz="1600">
            <a:solidFill>
              <a:schemeClr val="tx1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171450</xdr:colOff>
      <xdr:row>3</xdr:row>
      <xdr:rowOff>247650</xdr:rowOff>
    </xdr:from>
    <xdr:to>
      <xdr:col>13</xdr:col>
      <xdr:colOff>314325</xdr:colOff>
      <xdr:row>12</xdr:row>
      <xdr:rowOff>219075</xdr:rowOff>
    </xdr:to>
    <xdr:graphicFrame macro="">
      <xdr:nvGraphicFramePr>
        <xdr:cNvPr id="29" name="Диаграмма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15</xdr:row>
      <xdr:rowOff>66675</xdr:rowOff>
    </xdr:from>
    <xdr:to>
      <xdr:col>4</xdr:col>
      <xdr:colOff>1000126</xdr:colOff>
      <xdr:row>16</xdr:row>
      <xdr:rowOff>85725</xdr:rowOff>
    </xdr:to>
    <xdr:sp macro="" textlink="">
      <xdr:nvSpPr>
        <xdr:cNvPr id="39" name="Выноска 1 38"/>
        <xdr:cNvSpPr/>
      </xdr:nvSpPr>
      <xdr:spPr>
        <a:xfrm>
          <a:off x="533400" y="4314825"/>
          <a:ext cx="4581526" cy="276225"/>
        </a:xfrm>
        <a:prstGeom prst="borderCallout1">
          <a:avLst>
            <a:gd name="adj1" fmla="val 1648"/>
            <a:gd name="adj2" fmla="val 73606"/>
            <a:gd name="adj3" fmla="val -640940"/>
            <a:gd name="adj4" fmla="val 68252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=ЕСЛИ((МАКС(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G$8:G8)-C9)&gt;$F$4;"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Нет";"Да")</a:t>
          </a:r>
        </a:p>
      </xdr:txBody>
    </xdr:sp>
    <xdr:clientData/>
  </xdr:twoCellAnchor>
  <xdr:twoCellAnchor>
    <xdr:from>
      <xdr:col>1</xdr:col>
      <xdr:colOff>295275</xdr:colOff>
      <xdr:row>16</xdr:row>
      <xdr:rowOff>142875</xdr:rowOff>
    </xdr:from>
    <xdr:to>
      <xdr:col>5</xdr:col>
      <xdr:colOff>104776</xdr:colOff>
      <xdr:row>17</xdr:row>
      <xdr:rowOff>161925</xdr:rowOff>
    </xdr:to>
    <xdr:sp macro="" textlink="">
      <xdr:nvSpPr>
        <xdr:cNvPr id="40" name="Выноска 1 39"/>
        <xdr:cNvSpPr/>
      </xdr:nvSpPr>
      <xdr:spPr>
        <a:xfrm>
          <a:off x="904875" y="4648200"/>
          <a:ext cx="4581526" cy="276225"/>
        </a:xfrm>
        <a:prstGeom prst="borderCallout1">
          <a:avLst>
            <a:gd name="adj1" fmla="val -5249"/>
            <a:gd name="adj2" fmla="val 95851"/>
            <a:gd name="adj3" fmla="val -740940"/>
            <a:gd name="adj4" fmla="val 91329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D9="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Нет";"";-$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F$3*LN(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СЛЧИС())/1440)</a:t>
          </a:r>
        </a:p>
      </xdr:txBody>
    </xdr:sp>
    <xdr:clientData/>
  </xdr:twoCellAnchor>
  <xdr:twoCellAnchor>
    <xdr:from>
      <xdr:col>2</xdr:col>
      <xdr:colOff>571500</xdr:colOff>
      <xdr:row>17</xdr:row>
      <xdr:rowOff>228600</xdr:rowOff>
    </xdr:from>
    <xdr:to>
      <xdr:col>5</xdr:col>
      <xdr:colOff>533401</xdr:colOff>
      <xdr:row>18</xdr:row>
      <xdr:rowOff>247650</xdr:rowOff>
    </xdr:to>
    <xdr:sp macro="" textlink="">
      <xdr:nvSpPr>
        <xdr:cNvPr id="41" name="Выноска 1 40"/>
        <xdr:cNvSpPr/>
      </xdr:nvSpPr>
      <xdr:spPr>
        <a:xfrm>
          <a:off x="1952625" y="4991100"/>
          <a:ext cx="3962401" cy="276225"/>
        </a:xfrm>
        <a:prstGeom prst="borderCallout1">
          <a:avLst>
            <a:gd name="adj1" fmla="val -12145"/>
            <a:gd name="adj2" fmla="val 92733"/>
            <a:gd name="adj3" fmla="val -882320"/>
            <a:gd name="adj4" fmla="val 92785"/>
          </a:avLst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D9= "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Да";МАКС(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C9;G$8:G8); "")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47624</xdr:colOff>
      <xdr:row>19</xdr:row>
      <xdr:rowOff>95250</xdr:rowOff>
    </xdr:from>
    <xdr:to>
      <xdr:col>6</xdr:col>
      <xdr:colOff>76199</xdr:colOff>
      <xdr:row>20</xdr:row>
      <xdr:rowOff>114300</xdr:rowOff>
    </xdr:to>
    <xdr:sp macro="" textlink="">
      <xdr:nvSpPr>
        <xdr:cNvPr id="42" name="Выноска 1 41"/>
        <xdr:cNvSpPr/>
      </xdr:nvSpPr>
      <xdr:spPr>
        <a:xfrm>
          <a:off x="3124199" y="5372100"/>
          <a:ext cx="3171825" cy="276225"/>
        </a:xfrm>
        <a:prstGeom prst="borderCallout1">
          <a:avLst>
            <a:gd name="adj1" fmla="val -5249"/>
            <a:gd name="adj2" fmla="val 95851"/>
            <a:gd name="adj3" fmla="val -1016802"/>
            <a:gd name="adj4" fmla="val 104225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=ЕСЛИ(ЕТЕКСТ(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F9);"";F9+E9)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1057275</xdr:colOff>
      <xdr:row>20</xdr:row>
      <xdr:rowOff>190500</xdr:rowOff>
    </xdr:from>
    <xdr:to>
      <xdr:col>7</xdr:col>
      <xdr:colOff>438152</xdr:colOff>
      <xdr:row>21</xdr:row>
      <xdr:rowOff>209550</xdr:rowOff>
    </xdr:to>
    <xdr:sp macro="" textlink="">
      <xdr:nvSpPr>
        <xdr:cNvPr id="43" name="Выноска 1 42"/>
        <xdr:cNvSpPr/>
      </xdr:nvSpPr>
      <xdr:spPr>
        <a:xfrm>
          <a:off x="2438400" y="5724525"/>
          <a:ext cx="5038727" cy="276225"/>
        </a:xfrm>
        <a:prstGeom prst="borderCallout1">
          <a:avLst>
            <a:gd name="adj1" fmla="val -12145"/>
            <a:gd name="adj2" fmla="val 92733"/>
            <a:gd name="adj3" fmla="val -1144388"/>
            <a:gd name="adj4" fmla="val 94467"/>
          </a:avLst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=ЕСЛИ(ЕТЕКСТ(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G9);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МАКС(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G$8:G8;C9)-C9;F9-C9)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885825</xdr:colOff>
      <xdr:row>16</xdr:row>
      <xdr:rowOff>171450</xdr:rowOff>
    </xdr:from>
    <xdr:to>
      <xdr:col>5</xdr:col>
      <xdr:colOff>447676</xdr:colOff>
      <xdr:row>17</xdr:row>
      <xdr:rowOff>190500</xdr:rowOff>
    </xdr:to>
    <xdr:sp macro="" textlink="">
      <xdr:nvSpPr>
        <xdr:cNvPr id="2" name="Выноска 1 1"/>
        <xdr:cNvSpPr/>
      </xdr:nvSpPr>
      <xdr:spPr>
        <a:xfrm>
          <a:off x="2266950" y="4676775"/>
          <a:ext cx="3019426" cy="276225"/>
        </a:xfrm>
        <a:prstGeom prst="borderCallout1">
          <a:avLst>
            <a:gd name="adj1" fmla="val 1648"/>
            <a:gd name="adj2" fmla="val 73606"/>
            <a:gd name="adj3" fmla="val -768526"/>
            <a:gd name="adj4" fmla="val 74895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D9&gt;$F$4;"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Нет";"Да")</a:t>
          </a:r>
        </a:p>
      </xdr:txBody>
    </xdr:sp>
    <xdr:clientData/>
  </xdr:twoCellAnchor>
  <xdr:twoCellAnchor>
    <xdr:from>
      <xdr:col>2</xdr:col>
      <xdr:colOff>104774</xdr:colOff>
      <xdr:row>18</xdr:row>
      <xdr:rowOff>47625</xdr:rowOff>
    </xdr:from>
    <xdr:to>
      <xdr:col>6</xdr:col>
      <xdr:colOff>85725</xdr:colOff>
      <xdr:row>19</xdr:row>
      <xdr:rowOff>66675</xdr:rowOff>
    </xdr:to>
    <xdr:sp macro="" textlink="">
      <xdr:nvSpPr>
        <xdr:cNvPr id="3" name="Выноска 1 2"/>
        <xdr:cNvSpPr/>
      </xdr:nvSpPr>
      <xdr:spPr>
        <a:xfrm>
          <a:off x="1485899" y="5067300"/>
          <a:ext cx="4705351" cy="276225"/>
        </a:xfrm>
        <a:prstGeom prst="borderCallout1">
          <a:avLst>
            <a:gd name="adj1" fmla="val -5249"/>
            <a:gd name="adj2" fmla="val 95851"/>
            <a:gd name="adj3" fmla="val -916802"/>
            <a:gd name="adj4" fmla="val 93842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E9="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Нет";"";-$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F$3*LN(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СЛЧИС())/1440)</a:t>
          </a:r>
        </a:p>
      </xdr:txBody>
    </xdr:sp>
    <xdr:clientData/>
  </xdr:twoCellAnchor>
  <xdr:twoCellAnchor>
    <xdr:from>
      <xdr:col>2</xdr:col>
      <xdr:colOff>1352550</xdr:colOff>
      <xdr:row>19</xdr:row>
      <xdr:rowOff>190500</xdr:rowOff>
    </xdr:from>
    <xdr:to>
      <xdr:col>6</xdr:col>
      <xdr:colOff>514351</xdr:colOff>
      <xdr:row>20</xdr:row>
      <xdr:rowOff>209550</xdr:rowOff>
    </xdr:to>
    <xdr:sp macro="" textlink="">
      <xdr:nvSpPr>
        <xdr:cNvPr id="4" name="Выноска 1 3"/>
        <xdr:cNvSpPr/>
      </xdr:nvSpPr>
      <xdr:spPr>
        <a:xfrm>
          <a:off x="2733675" y="5467350"/>
          <a:ext cx="3886201" cy="276225"/>
        </a:xfrm>
        <a:prstGeom prst="borderCallout1">
          <a:avLst>
            <a:gd name="adj1" fmla="val -12145"/>
            <a:gd name="adj2" fmla="val 92733"/>
            <a:gd name="adj3" fmla="val -1054734"/>
            <a:gd name="adj4" fmla="val 94208"/>
          </a:avLst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E9="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Да";МАКС(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C9;H$7:H8);"")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971549</xdr:colOff>
      <xdr:row>21</xdr:row>
      <xdr:rowOff>95250</xdr:rowOff>
    </xdr:from>
    <xdr:to>
      <xdr:col>6</xdr:col>
      <xdr:colOff>838199</xdr:colOff>
      <xdr:row>22</xdr:row>
      <xdr:rowOff>114300</xdr:rowOff>
    </xdr:to>
    <xdr:sp macro="" textlink="">
      <xdr:nvSpPr>
        <xdr:cNvPr id="5" name="Выноска 1 4"/>
        <xdr:cNvSpPr/>
      </xdr:nvSpPr>
      <xdr:spPr>
        <a:xfrm>
          <a:off x="3771899" y="5886450"/>
          <a:ext cx="3171825" cy="276225"/>
        </a:xfrm>
        <a:prstGeom prst="borderCallout1">
          <a:avLst>
            <a:gd name="adj1" fmla="val -5249"/>
            <a:gd name="adj2" fmla="val 95851"/>
            <a:gd name="adj3" fmla="val -1206457"/>
            <a:gd name="adj4" fmla="val 107228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 i="0" u="none" strike="noStrike" baseline="0" smtClean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=ЕСЛИ(ЕТЕКСТ(</a:t>
          </a:r>
          <a:r>
            <a:rPr lang="en-US" sz="1600" b="1" i="0" u="none" strike="noStrike" baseline="0" smtClean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G9);"";G9+F9) 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342900</xdr:colOff>
      <xdr:row>22</xdr:row>
      <xdr:rowOff>200025</xdr:rowOff>
    </xdr:from>
    <xdr:to>
      <xdr:col>8</xdr:col>
      <xdr:colOff>381002</xdr:colOff>
      <xdr:row>23</xdr:row>
      <xdr:rowOff>219075</xdr:rowOff>
    </xdr:to>
    <xdr:sp macro="" textlink="">
      <xdr:nvSpPr>
        <xdr:cNvPr id="6" name="Выноска 1 5"/>
        <xdr:cNvSpPr/>
      </xdr:nvSpPr>
      <xdr:spPr>
        <a:xfrm>
          <a:off x="3143250" y="6248400"/>
          <a:ext cx="5000627" cy="276225"/>
        </a:xfrm>
        <a:prstGeom prst="borderCallout1">
          <a:avLst>
            <a:gd name="adj1" fmla="val -12145"/>
            <a:gd name="adj2" fmla="val 92733"/>
            <a:gd name="adj3" fmla="val -1323698"/>
            <a:gd name="adj4" fmla="val 97112"/>
          </a:avLst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=ЕСЛИ(ЕТЕКСТ(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H9);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МАКС(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H$8:H8;C9)-C9;G9-C9)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542925</xdr:colOff>
      <xdr:row>15</xdr:row>
      <xdr:rowOff>66675</xdr:rowOff>
    </xdr:from>
    <xdr:to>
      <xdr:col>3</xdr:col>
      <xdr:colOff>952500</xdr:colOff>
      <xdr:row>16</xdr:row>
      <xdr:rowOff>85725</xdr:rowOff>
    </xdr:to>
    <xdr:sp macro="" textlink="">
      <xdr:nvSpPr>
        <xdr:cNvPr id="7" name="Выноска 1 6"/>
        <xdr:cNvSpPr/>
      </xdr:nvSpPr>
      <xdr:spPr>
        <a:xfrm>
          <a:off x="542925" y="4314825"/>
          <a:ext cx="3209925" cy="276225"/>
        </a:xfrm>
        <a:prstGeom prst="borderCallout1">
          <a:avLst>
            <a:gd name="adj1" fmla="val -5249"/>
            <a:gd name="adj2" fmla="val 95851"/>
            <a:gd name="adj3" fmla="val -640939"/>
            <a:gd name="adj4" fmla="val 95817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=СЧЁТЕСЛИ($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G$8:$G8;"&gt;"&amp;C9)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752475</xdr:colOff>
      <xdr:row>17</xdr:row>
      <xdr:rowOff>142875</xdr:rowOff>
    </xdr:from>
    <xdr:to>
      <xdr:col>4</xdr:col>
      <xdr:colOff>171449</xdr:colOff>
      <xdr:row>18</xdr:row>
      <xdr:rowOff>161925</xdr:rowOff>
    </xdr:to>
    <xdr:sp macro="" textlink="">
      <xdr:nvSpPr>
        <xdr:cNvPr id="2" name="Выноска 1 1"/>
        <xdr:cNvSpPr/>
      </xdr:nvSpPr>
      <xdr:spPr>
        <a:xfrm>
          <a:off x="1362075" y="4876800"/>
          <a:ext cx="2876549" cy="276225"/>
        </a:xfrm>
        <a:prstGeom prst="borderCallout1">
          <a:avLst>
            <a:gd name="adj1" fmla="val -8697"/>
            <a:gd name="adj2" fmla="val 93805"/>
            <a:gd name="adj3" fmla="val -665078"/>
            <a:gd name="adj4" fmla="val 83824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D10=$D$5-1;0;D10+1)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200023</xdr:colOff>
      <xdr:row>19</xdr:row>
      <xdr:rowOff>0</xdr:rowOff>
    </xdr:from>
    <xdr:to>
      <xdr:col>5</xdr:col>
      <xdr:colOff>495300</xdr:colOff>
      <xdr:row>20</xdr:row>
      <xdr:rowOff>19050</xdr:rowOff>
    </xdr:to>
    <xdr:sp macro="" textlink="">
      <xdr:nvSpPr>
        <xdr:cNvPr id="3" name="Выноска 1 2"/>
        <xdr:cNvSpPr/>
      </xdr:nvSpPr>
      <xdr:spPr>
        <a:xfrm>
          <a:off x="200023" y="5248275"/>
          <a:ext cx="5629277" cy="276225"/>
        </a:xfrm>
        <a:prstGeom prst="borderCallout1">
          <a:avLst>
            <a:gd name="adj1" fmla="val -5249"/>
            <a:gd name="adj2" fmla="val 74362"/>
            <a:gd name="adj3" fmla="val -889216"/>
            <a:gd name="adj4" fmla="val 73561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D10=$D$5-1;($D$3+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СЛЧИС()*($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D$4-$D$3))/1440;"")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933451</xdr:colOff>
      <xdr:row>20</xdr:row>
      <xdr:rowOff>76200</xdr:rowOff>
    </xdr:from>
    <xdr:to>
      <xdr:col>6</xdr:col>
      <xdr:colOff>76200</xdr:colOff>
      <xdr:row>21</xdr:row>
      <xdr:rowOff>95250</xdr:rowOff>
    </xdr:to>
    <xdr:sp macro="" textlink="">
      <xdr:nvSpPr>
        <xdr:cNvPr id="4" name="Выноска 1 3"/>
        <xdr:cNvSpPr/>
      </xdr:nvSpPr>
      <xdr:spPr>
        <a:xfrm>
          <a:off x="2314576" y="5581650"/>
          <a:ext cx="3933824" cy="276225"/>
        </a:xfrm>
        <a:prstGeom prst="borderCallout1">
          <a:avLst>
            <a:gd name="adj1" fmla="val -1800"/>
            <a:gd name="adj2" fmla="val 94237"/>
            <a:gd name="adj3" fmla="val -1006458"/>
            <a:gd name="adj4" fmla="val 90844"/>
          </a:avLst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E10="";"";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МАКС(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C10;G$9:G9))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95250</xdr:colOff>
      <xdr:row>21</xdr:row>
      <xdr:rowOff>200025</xdr:rowOff>
    </xdr:from>
    <xdr:to>
      <xdr:col>6</xdr:col>
      <xdr:colOff>409574</xdr:colOff>
      <xdr:row>22</xdr:row>
      <xdr:rowOff>219075</xdr:rowOff>
    </xdr:to>
    <xdr:sp macro="" textlink="">
      <xdr:nvSpPr>
        <xdr:cNvPr id="5" name="Выноска 1 4"/>
        <xdr:cNvSpPr/>
      </xdr:nvSpPr>
      <xdr:spPr>
        <a:xfrm>
          <a:off x="2895600" y="5962650"/>
          <a:ext cx="3686174" cy="276225"/>
        </a:xfrm>
        <a:prstGeom prst="borderCallout1">
          <a:avLst>
            <a:gd name="adj1" fmla="val -5249"/>
            <a:gd name="adj2" fmla="val 95851"/>
            <a:gd name="adj3" fmla="val -1147837"/>
            <a:gd name="adj4" fmla="val 93951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 i="0" u="none" strike="noStrike" baseline="0" smtClean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=ЕСЛИ(ЕТЕКСТ(</a:t>
          </a:r>
          <a:r>
            <a:rPr lang="en-US" sz="1600" b="1" i="0" u="none" strike="noStrike" baseline="0" smtClean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F10);"";F10+E10) 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114301</xdr:colOff>
      <xdr:row>23</xdr:row>
      <xdr:rowOff>38100</xdr:rowOff>
    </xdr:from>
    <xdr:to>
      <xdr:col>8</xdr:col>
      <xdr:colOff>19051</xdr:colOff>
      <xdr:row>24</xdr:row>
      <xdr:rowOff>57150</xdr:rowOff>
    </xdr:to>
    <xdr:sp macro="" textlink="">
      <xdr:nvSpPr>
        <xdr:cNvPr id="6" name="Выноска 1 5"/>
        <xdr:cNvSpPr/>
      </xdr:nvSpPr>
      <xdr:spPr>
        <a:xfrm>
          <a:off x="1495426" y="6315075"/>
          <a:ext cx="6381750" cy="276225"/>
        </a:xfrm>
        <a:prstGeom prst="borderCallout1">
          <a:avLst>
            <a:gd name="adj1" fmla="val -12145"/>
            <a:gd name="adj2" fmla="val 92733"/>
            <a:gd name="adj3" fmla="val -1285767"/>
            <a:gd name="adj4" fmla="val 92201"/>
          </a:avLst>
        </a:prstGeom>
        <a:noFill/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=ЕСЛИ(ЕТЕКСТ(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G10);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МАКС(МИН(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F10:F$16);C10)-C10;F10-C10)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133350</xdr:colOff>
      <xdr:row>16</xdr:row>
      <xdr:rowOff>85725</xdr:rowOff>
    </xdr:from>
    <xdr:to>
      <xdr:col>3</xdr:col>
      <xdr:colOff>504825</xdr:colOff>
      <xdr:row>17</xdr:row>
      <xdr:rowOff>114300</xdr:rowOff>
    </xdr:to>
    <xdr:sp macro="" textlink="">
      <xdr:nvSpPr>
        <xdr:cNvPr id="7" name="Выноска 1 6"/>
        <xdr:cNvSpPr/>
      </xdr:nvSpPr>
      <xdr:spPr>
        <a:xfrm>
          <a:off x="133350" y="4819650"/>
          <a:ext cx="3171825" cy="285750"/>
        </a:xfrm>
        <a:prstGeom prst="borderCallout1">
          <a:avLst>
            <a:gd name="adj1" fmla="val -1678"/>
            <a:gd name="adj2" fmla="val 83276"/>
            <a:gd name="adj3" fmla="val -625206"/>
            <a:gd name="adj4" fmla="val 77556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=C9+(</a:t>
          </a:r>
          <a:r>
            <a:rPr lang="ru-RU" sz="16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-$</a:t>
          </a:r>
          <a:r>
            <a:rPr lang="en-US" sz="16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D$2*LN(</a:t>
          </a:r>
          <a:r>
            <a:rPr lang="ru-RU" sz="16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СЛЧИС()</a:t>
          </a:r>
          <a:r>
            <a:rPr lang="en-US" sz="16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)</a:t>
          </a:r>
          <a:r>
            <a:rPr lang="ru-RU" sz="16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)/1440)</a:t>
          </a:r>
          <a:endParaRPr lang="ru-RU" sz="1600">
            <a:solidFill>
              <a:schemeClr val="tx1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2</xdr:row>
      <xdr:rowOff>123825</xdr:rowOff>
    </xdr:from>
    <xdr:to>
      <xdr:col>11</xdr:col>
      <xdr:colOff>552450</xdr:colOff>
      <xdr:row>12</xdr:row>
      <xdr:rowOff>171450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323850</xdr:colOff>
      <xdr:row>13</xdr:row>
      <xdr:rowOff>238125</xdr:rowOff>
    </xdr:from>
    <xdr:to>
      <xdr:col>12</xdr:col>
      <xdr:colOff>19050</xdr:colOff>
      <xdr:row>24</xdr:row>
      <xdr:rowOff>152400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571500</xdr:colOff>
      <xdr:row>29</xdr:row>
      <xdr:rowOff>114300</xdr:rowOff>
    </xdr:from>
    <xdr:to>
      <xdr:col>6</xdr:col>
      <xdr:colOff>190499</xdr:colOff>
      <xdr:row>30</xdr:row>
      <xdr:rowOff>142875</xdr:rowOff>
    </xdr:to>
    <xdr:sp macro="" textlink="">
      <xdr:nvSpPr>
        <xdr:cNvPr id="5" name="Выноска 1 4"/>
        <xdr:cNvSpPr/>
      </xdr:nvSpPr>
      <xdr:spPr>
        <a:xfrm>
          <a:off x="571500" y="7734300"/>
          <a:ext cx="5200649" cy="285750"/>
        </a:xfrm>
        <a:prstGeom prst="borderCallout1">
          <a:avLst>
            <a:gd name="adj1" fmla="val -15011"/>
            <a:gd name="adj2" fmla="val 78148"/>
            <a:gd name="adj3" fmla="val -1721873"/>
            <a:gd name="adj4" fmla="val 62527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C11&lt;$D$5;$D$3*($D$5-C11);$D$4*(C11-$D$5))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29</xdr:row>
      <xdr:rowOff>114300</xdr:rowOff>
    </xdr:from>
    <xdr:to>
      <xdr:col>6</xdr:col>
      <xdr:colOff>190499</xdr:colOff>
      <xdr:row>30</xdr:row>
      <xdr:rowOff>142875</xdr:rowOff>
    </xdr:to>
    <xdr:sp macro="" textlink="">
      <xdr:nvSpPr>
        <xdr:cNvPr id="4" name="Выноска 1 3"/>
        <xdr:cNvSpPr/>
      </xdr:nvSpPr>
      <xdr:spPr>
        <a:xfrm>
          <a:off x="571500" y="7734300"/>
          <a:ext cx="5200649" cy="285750"/>
        </a:xfrm>
        <a:prstGeom prst="borderCallout1">
          <a:avLst>
            <a:gd name="adj1" fmla="val -15011"/>
            <a:gd name="adj2" fmla="val 78148"/>
            <a:gd name="adj3" fmla="val -1721873"/>
            <a:gd name="adj4" fmla="val 62527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C11&lt;$D$5;$D$3*($D$5-C11);$D$4*(C11-$D$5))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1262063</xdr:colOff>
      <xdr:row>11</xdr:row>
      <xdr:rowOff>49212</xdr:rowOff>
    </xdr:from>
    <xdr:to>
      <xdr:col>6</xdr:col>
      <xdr:colOff>539751</xdr:colOff>
      <xdr:row>12</xdr:row>
      <xdr:rowOff>77787</xdr:rowOff>
    </xdr:to>
    <xdr:sp macro="" textlink="">
      <xdr:nvSpPr>
        <xdr:cNvPr id="5" name="Выноска 1 4"/>
        <xdr:cNvSpPr/>
      </xdr:nvSpPr>
      <xdr:spPr>
        <a:xfrm>
          <a:off x="6230938" y="3017837"/>
          <a:ext cx="611188" cy="282575"/>
        </a:xfrm>
        <a:prstGeom prst="borderCallout1">
          <a:avLst>
            <a:gd name="adj1" fmla="val -15011"/>
            <a:gd name="adj2" fmla="val 78148"/>
            <a:gd name="adj3" fmla="val -728540"/>
            <a:gd name="adj4" fmla="val 72738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=D28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15875</xdr:colOff>
      <xdr:row>14</xdr:row>
      <xdr:rowOff>23812</xdr:rowOff>
    </xdr:from>
    <xdr:to>
      <xdr:col>7</xdr:col>
      <xdr:colOff>47626</xdr:colOff>
      <xdr:row>26</xdr:row>
      <xdr:rowOff>169070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29</xdr:row>
      <xdr:rowOff>114300</xdr:rowOff>
    </xdr:from>
    <xdr:to>
      <xdr:col>6</xdr:col>
      <xdr:colOff>190499</xdr:colOff>
      <xdr:row>30</xdr:row>
      <xdr:rowOff>142875</xdr:rowOff>
    </xdr:to>
    <xdr:sp macro="" textlink="">
      <xdr:nvSpPr>
        <xdr:cNvPr id="2" name="Выноска 1 1"/>
        <xdr:cNvSpPr/>
      </xdr:nvSpPr>
      <xdr:spPr>
        <a:xfrm>
          <a:off x="571500" y="7743825"/>
          <a:ext cx="5924549" cy="285750"/>
        </a:xfrm>
        <a:prstGeom prst="borderCallout1">
          <a:avLst>
            <a:gd name="adj1" fmla="val -15011"/>
            <a:gd name="adj2" fmla="val 78148"/>
            <a:gd name="adj3" fmla="val -1721873"/>
            <a:gd name="adj4" fmla="val 62527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C11&lt;$D$5;$D$3*($D$5-C11);$D$4*(C11-$D$5))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2</xdr:row>
      <xdr:rowOff>123825</xdr:rowOff>
    </xdr:from>
    <xdr:to>
      <xdr:col>12</xdr:col>
      <xdr:colOff>552450</xdr:colOff>
      <xdr:row>13</xdr:row>
      <xdr:rowOff>171450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323850</xdr:colOff>
      <xdr:row>14</xdr:row>
      <xdr:rowOff>238125</xdr:rowOff>
    </xdr:from>
    <xdr:to>
      <xdr:col>13</xdr:col>
      <xdr:colOff>19050</xdr:colOff>
      <xdr:row>25</xdr:row>
      <xdr:rowOff>152400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571500</xdr:colOff>
      <xdr:row>32</xdr:row>
      <xdr:rowOff>114300</xdr:rowOff>
    </xdr:from>
    <xdr:to>
      <xdr:col>8</xdr:col>
      <xdr:colOff>285750</xdr:colOff>
      <xdr:row>33</xdr:row>
      <xdr:rowOff>226218</xdr:rowOff>
    </xdr:to>
    <xdr:sp macro="" textlink="">
      <xdr:nvSpPr>
        <xdr:cNvPr id="4" name="Выноска 1 3"/>
        <xdr:cNvSpPr/>
      </xdr:nvSpPr>
      <xdr:spPr>
        <a:xfrm>
          <a:off x="571500" y="8591550"/>
          <a:ext cx="6977063" cy="373856"/>
        </a:xfrm>
        <a:prstGeom prst="borderCallout1">
          <a:avLst>
            <a:gd name="adj1" fmla="val 4097"/>
            <a:gd name="adj2" fmla="val 93848"/>
            <a:gd name="adj3" fmla="val -1470280"/>
            <a:gd name="adj4" fmla="val 63210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C12&lt;($E$6+$E$5);$E$3*($E$6+$E$5-C12);$E$4*(C12-$E$6-$E$5))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119064</xdr:colOff>
      <xdr:row>27</xdr:row>
      <xdr:rowOff>178594</xdr:rowOff>
    </xdr:from>
    <xdr:to>
      <xdr:col>7</xdr:col>
      <xdr:colOff>59532</xdr:colOff>
      <xdr:row>29</xdr:row>
      <xdr:rowOff>28575</xdr:rowOff>
    </xdr:to>
    <xdr:sp macro="" textlink="">
      <xdr:nvSpPr>
        <xdr:cNvPr id="5" name="Выноска 1 4"/>
        <xdr:cNvSpPr/>
      </xdr:nvSpPr>
      <xdr:spPr>
        <a:xfrm>
          <a:off x="119064" y="7346157"/>
          <a:ext cx="6596062" cy="373856"/>
        </a:xfrm>
        <a:prstGeom prst="borderCallout1">
          <a:avLst>
            <a:gd name="adj1" fmla="val -15011"/>
            <a:gd name="adj2" fmla="val 78148"/>
            <a:gd name="adj3" fmla="val -1069006"/>
            <a:gd name="adj4" fmla="val 67903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C13&lt;($E$6+D12);$E$3*($E$6+D12-C13);$E$4*(C13-$E$6-D12))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571501</xdr:colOff>
      <xdr:row>26</xdr:row>
      <xdr:rowOff>59532</xdr:rowOff>
    </xdr:from>
    <xdr:to>
      <xdr:col>4</xdr:col>
      <xdr:colOff>500064</xdr:colOff>
      <xdr:row>27</xdr:row>
      <xdr:rowOff>171450</xdr:rowOff>
    </xdr:to>
    <xdr:sp macro="" textlink="">
      <xdr:nvSpPr>
        <xdr:cNvPr id="6" name="Выноска 1 5"/>
        <xdr:cNvSpPr/>
      </xdr:nvSpPr>
      <xdr:spPr>
        <a:xfrm>
          <a:off x="571501" y="6965157"/>
          <a:ext cx="4083844" cy="373856"/>
        </a:xfrm>
        <a:prstGeom prst="borderCallout1">
          <a:avLst>
            <a:gd name="adj1" fmla="val -15011"/>
            <a:gd name="adj2" fmla="val 78148"/>
            <a:gd name="adj3" fmla="val -970280"/>
            <a:gd name="adj4" fmla="val 68185"/>
          </a:avLst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C13&lt;($E$6+D12);$E$6+D12-C13;0)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523876</xdr:colOff>
      <xdr:row>8</xdr:row>
      <xdr:rowOff>71437</xdr:rowOff>
    </xdr:from>
    <xdr:to>
      <xdr:col>7</xdr:col>
      <xdr:colOff>166688</xdr:colOff>
      <xdr:row>9</xdr:row>
      <xdr:rowOff>183355</xdr:rowOff>
    </xdr:to>
    <xdr:sp macro="" textlink="">
      <xdr:nvSpPr>
        <xdr:cNvPr id="7" name="Выноска 1 6"/>
        <xdr:cNvSpPr/>
      </xdr:nvSpPr>
      <xdr:spPr>
        <a:xfrm>
          <a:off x="2536032" y="2262187"/>
          <a:ext cx="4286250" cy="373856"/>
        </a:xfrm>
        <a:prstGeom prst="borderCallout1">
          <a:avLst>
            <a:gd name="adj1" fmla="val 83715"/>
            <a:gd name="adj2" fmla="val 9537"/>
            <a:gd name="adj3" fmla="val 233543"/>
            <a:gd name="adj4" fmla="val 16793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C12&lt;($E$6+$E$5);$E$6+$E$5-C12;0)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202407</xdr:colOff>
      <xdr:row>10</xdr:row>
      <xdr:rowOff>71437</xdr:rowOff>
    </xdr:from>
    <xdr:to>
      <xdr:col>2</xdr:col>
      <xdr:colOff>988219</xdr:colOff>
      <xdr:row>11</xdr:row>
      <xdr:rowOff>107156</xdr:rowOff>
    </xdr:to>
    <xdr:sp macro="" textlink="">
      <xdr:nvSpPr>
        <xdr:cNvPr id="8" name="Выноска 1 7"/>
        <xdr:cNvSpPr/>
      </xdr:nvSpPr>
      <xdr:spPr>
        <a:xfrm>
          <a:off x="2214563" y="3762375"/>
          <a:ext cx="785812" cy="297656"/>
        </a:xfrm>
        <a:prstGeom prst="borderCallout1">
          <a:avLst>
            <a:gd name="adj1" fmla="val 83715"/>
            <a:gd name="adj2" fmla="val 9537"/>
            <a:gd name="adj3" fmla="val 385085"/>
            <a:gd name="adj4" fmla="val 28915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=G10-1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1214438</xdr:colOff>
      <xdr:row>10</xdr:row>
      <xdr:rowOff>95249</xdr:rowOff>
    </xdr:from>
    <xdr:to>
      <xdr:col>5</xdr:col>
      <xdr:colOff>750094</xdr:colOff>
      <xdr:row>11</xdr:row>
      <xdr:rowOff>142875</xdr:rowOff>
    </xdr:to>
    <xdr:sp macro="" textlink="">
      <xdr:nvSpPr>
        <xdr:cNvPr id="9" name="Выноска 1 8"/>
        <xdr:cNvSpPr/>
      </xdr:nvSpPr>
      <xdr:spPr>
        <a:xfrm>
          <a:off x="3226594" y="3786187"/>
          <a:ext cx="3083719" cy="309563"/>
        </a:xfrm>
        <a:prstGeom prst="borderCallout1">
          <a:avLst>
            <a:gd name="adj1" fmla="val 83715"/>
            <a:gd name="adj2" fmla="val 9537"/>
            <a:gd name="adj3" fmla="val 498364"/>
            <a:gd name="adj4" fmla="val -14627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C15&lt;&gt;0;C15-1;$G$10-1)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119064</xdr:colOff>
      <xdr:row>30</xdr:row>
      <xdr:rowOff>142875</xdr:rowOff>
    </xdr:from>
    <xdr:to>
      <xdr:col>2</xdr:col>
      <xdr:colOff>797720</xdr:colOff>
      <xdr:row>31</xdr:row>
      <xdr:rowOff>190501</xdr:rowOff>
    </xdr:to>
    <xdr:sp macro="" textlink="">
      <xdr:nvSpPr>
        <xdr:cNvPr id="10" name="Выноска 1 9"/>
        <xdr:cNvSpPr/>
      </xdr:nvSpPr>
      <xdr:spPr>
        <a:xfrm>
          <a:off x="119064" y="11025188"/>
          <a:ext cx="2690812" cy="309563"/>
        </a:xfrm>
        <a:prstGeom prst="borderCallout1">
          <a:avLst>
            <a:gd name="adj1" fmla="val -12439"/>
            <a:gd name="adj2" fmla="val 49360"/>
            <a:gd name="adj3" fmla="val -1967017"/>
            <a:gd name="adj4" fmla="val 136701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C15&lt;&gt;0;G5;G5+G6)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892967</xdr:colOff>
      <xdr:row>30</xdr:row>
      <xdr:rowOff>142875</xdr:rowOff>
    </xdr:from>
    <xdr:to>
      <xdr:col>5</xdr:col>
      <xdr:colOff>416717</xdr:colOff>
      <xdr:row>31</xdr:row>
      <xdr:rowOff>190501</xdr:rowOff>
    </xdr:to>
    <xdr:sp macro="" textlink="">
      <xdr:nvSpPr>
        <xdr:cNvPr id="11" name="Выноска 1 10"/>
        <xdr:cNvSpPr/>
      </xdr:nvSpPr>
      <xdr:spPr>
        <a:xfrm>
          <a:off x="2905123" y="11025188"/>
          <a:ext cx="3071813" cy="309563"/>
        </a:xfrm>
        <a:prstGeom prst="borderCallout1">
          <a:avLst>
            <a:gd name="adj1" fmla="val -12439"/>
            <a:gd name="adj2" fmla="val 16026"/>
            <a:gd name="adj3" fmla="val -1855479"/>
            <a:gd name="adj4" fmla="val 42934"/>
          </a:avLst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C16&lt;&gt;0;F15;F15+$G$6)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904877</xdr:colOff>
      <xdr:row>10</xdr:row>
      <xdr:rowOff>71438</xdr:rowOff>
    </xdr:from>
    <xdr:to>
      <xdr:col>8</xdr:col>
      <xdr:colOff>583408</xdr:colOff>
      <xdr:row>11</xdr:row>
      <xdr:rowOff>119064</xdr:rowOff>
    </xdr:to>
    <xdr:sp macro="" textlink="">
      <xdr:nvSpPr>
        <xdr:cNvPr id="12" name="Выноска 1 11"/>
        <xdr:cNvSpPr/>
      </xdr:nvSpPr>
      <xdr:spPr>
        <a:xfrm>
          <a:off x="6465096" y="3762376"/>
          <a:ext cx="2797968" cy="309563"/>
        </a:xfrm>
        <a:prstGeom prst="borderCallout1">
          <a:avLst>
            <a:gd name="adj1" fmla="val 95253"/>
            <a:gd name="adj2" fmla="val 14476"/>
            <a:gd name="adj3" fmla="val 386825"/>
            <a:gd name="adj4" fmla="val -12105"/>
          </a:avLst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E15&lt;D15;D15-E15;0)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107156</xdr:colOff>
      <xdr:row>32</xdr:row>
      <xdr:rowOff>23812</xdr:rowOff>
    </xdr:from>
    <xdr:to>
      <xdr:col>15</xdr:col>
      <xdr:colOff>500062</xdr:colOff>
      <xdr:row>33</xdr:row>
      <xdr:rowOff>71438</xdr:rowOff>
    </xdr:to>
    <xdr:sp macro="" textlink="">
      <xdr:nvSpPr>
        <xdr:cNvPr id="13" name="Выноска 1 12"/>
        <xdr:cNvSpPr/>
      </xdr:nvSpPr>
      <xdr:spPr>
        <a:xfrm>
          <a:off x="107156" y="11430000"/>
          <a:ext cx="13323094" cy="309563"/>
        </a:xfrm>
        <a:prstGeom prst="borderCallout1">
          <a:avLst>
            <a:gd name="adj1" fmla="val -901"/>
            <a:gd name="adj2" fmla="val 46359"/>
            <a:gd name="adj3" fmla="val -2093940"/>
            <a:gd name="adj4" fmla="val 50367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C15&lt;&gt;0;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E15&lt;D15;$G$3*(D15-E15);$G$4*(E15-D15));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E15&lt;D15;$G$3*(D15-E15)+$G$9*$G$6;$G$4*(E15-D15)+$G$9*$G$6))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226220</xdr:colOff>
      <xdr:row>15</xdr:row>
      <xdr:rowOff>283368</xdr:rowOff>
    </xdr:from>
    <xdr:to>
      <xdr:col>14</xdr:col>
      <xdr:colOff>261939</xdr:colOff>
      <xdr:row>27</xdr:row>
      <xdr:rowOff>83343</xdr:rowOff>
    </xdr:to>
    <xdr:graphicFrame macro="">
      <xdr:nvGraphicFramePr>
        <xdr:cNvPr id="14" name="Диаграмма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10</xdr:row>
      <xdr:rowOff>63500</xdr:rowOff>
    </xdr:from>
    <xdr:to>
      <xdr:col>2</xdr:col>
      <xdr:colOff>1019970</xdr:colOff>
      <xdr:row>11</xdr:row>
      <xdr:rowOff>43656</xdr:rowOff>
    </xdr:to>
    <xdr:sp macro="" textlink="">
      <xdr:nvSpPr>
        <xdr:cNvPr id="2" name="Выноска 1 1"/>
        <xdr:cNvSpPr/>
      </xdr:nvSpPr>
      <xdr:spPr>
        <a:xfrm>
          <a:off x="746125" y="3698875"/>
          <a:ext cx="2274095" cy="234156"/>
        </a:xfrm>
        <a:prstGeom prst="borderCallout1">
          <a:avLst>
            <a:gd name="adj1" fmla="val 104054"/>
            <a:gd name="adj2" fmla="val 84232"/>
            <a:gd name="adj3" fmla="val 459662"/>
            <a:gd name="adj4" fmla="val 85459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G5&gt;G10;0;1)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1214438</xdr:colOff>
      <xdr:row>10</xdr:row>
      <xdr:rowOff>47625</xdr:rowOff>
    </xdr:from>
    <xdr:to>
      <xdr:col>4</xdr:col>
      <xdr:colOff>698500</xdr:colOff>
      <xdr:row>11</xdr:row>
      <xdr:rowOff>142875</xdr:rowOff>
    </xdr:to>
    <xdr:sp macro="" textlink="">
      <xdr:nvSpPr>
        <xdr:cNvPr id="3" name="Выноска 1 2"/>
        <xdr:cNvSpPr/>
      </xdr:nvSpPr>
      <xdr:spPr>
        <a:xfrm>
          <a:off x="3214688" y="3683000"/>
          <a:ext cx="2293937" cy="349250"/>
        </a:xfrm>
        <a:prstGeom prst="borderCallout1">
          <a:avLst>
            <a:gd name="adj1" fmla="val 83715"/>
            <a:gd name="adj2" fmla="val 9537"/>
            <a:gd name="adj3" fmla="val 439273"/>
            <a:gd name="adj4" fmla="val -16011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F15&gt;$G$10;0;1)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119064</xdr:colOff>
      <xdr:row>30</xdr:row>
      <xdr:rowOff>142875</xdr:rowOff>
    </xdr:from>
    <xdr:to>
      <xdr:col>2</xdr:col>
      <xdr:colOff>797720</xdr:colOff>
      <xdr:row>31</xdr:row>
      <xdr:rowOff>190501</xdr:rowOff>
    </xdr:to>
    <xdr:sp macro="" textlink="">
      <xdr:nvSpPr>
        <xdr:cNvPr id="4" name="Выноска 1 3"/>
        <xdr:cNvSpPr/>
      </xdr:nvSpPr>
      <xdr:spPr>
        <a:xfrm>
          <a:off x="119064" y="10953750"/>
          <a:ext cx="2678906" cy="301626"/>
        </a:xfrm>
        <a:prstGeom prst="borderCallout1">
          <a:avLst>
            <a:gd name="adj1" fmla="val -12439"/>
            <a:gd name="adj2" fmla="val 49360"/>
            <a:gd name="adj3" fmla="val -2045964"/>
            <a:gd name="adj4" fmla="val 138479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C15&lt;&gt;0;G5;G5+G6)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892967</xdr:colOff>
      <xdr:row>30</xdr:row>
      <xdr:rowOff>142875</xdr:rowOff>
    </xdr:from>
    <xdr:to>
      <xdr:col>5</xdr:col>
      <xdr:colOff>416717</xdr:colOff>
      <xdr:row>31</xdr:row>
      <xdr:rowOff>190501</xdr:rowOff>
    </xdr:to>
    <xdr:sp macro="" textlink="">
      <xdr:nvSpPr>
        <xdr:cNvPr id="5" name="Выноска 1 4"/>
        <xdr:cNvSpPr/>
      </xdr:nvSpPr>
      <xdr:spPr>
        <a:xfrm>
          <a:off x="2893217" y="10953750"/>
          <a:ext cx="3063875" cy="301626"/>
        </a:xfrm>
        <a:prstGeom prst="borderCallout1">
          <a:avLst>
            <a:gd name="adj1" fmla="val -12439"/>
            <a:gd name="adj2" fmla="val 16026"/>
            <a:gd name="adj3" fmla="val -1892321"/>
            <a:gd name="adj4" fmla="val 43452"/>
          </a:avLst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C16&lt;&gt;0;F15;F15+$G$6)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904877</xdr:colOff>
      <xdr:row>10</xdr:row>
      <xdr:rowOff>71438</xdr:rowOff>
    </xdr:from>
    <xdr:to>
      <xdr:col>8</xdr:col>
      <xdr:colOff>583408</xdr:colOff>
      <xdr:row>11</xdr:row>
      <xdr:rowOff>119064</xdr:rowOff>
    </xdr:to>
    <xdr:sp macro="" textlink="">
      <xdr:nvSpPr>
        <xdr:cNvPr id="6" name="Выноска 1 5"/>
        <xdr:cNvSpPr/>
      </xdr:nvSpPr>
      <xdr:spPr>
        <a:xfrm>
          <a:off x="6457952" y="3729038"/>
          <a:ext cx="2802731" cy="304801"/>
        </a:xfrm>
        <a:prstGeom prst="borderCallout1">
          <a:avLst>
            <a:gd name="adj1" fmla="val 95253"/>
            <a:gd name="adj2" fmla="val 14476"/>
            <a:gd name="adj3" fmla="val 386825"/>
            <a:gd name="adj4" fmla="val -12105"/>
          </a:avLst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E15&lt;D15;D15-E15;0)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107156</xdr:colOff>
      <xdr:row>32</xdr:row>
      <xdr:rowOff>23812</xdr:rowOff>
    </xdr:from>
    <xdr:to>
      <xdr:col>15</xdr:col>
      <xdr:colOff>500062</xdr:colOff>
      <xdr:row>33</xdr:row>
      <xdr:rowOff>71438</xdr:rowOff>
    </xdr:to>
    <xdr:sp macro="" textlink="">
      <xdr:nvSpPr>
        <xdr:cNvPr id="7" name="Выноска 1 6"/>
        <xdr:cNvSpPr/>
      </xdr:nvSpPr>
      <xdr:spPr>
        <a:xfrm>
          <a:off x="107156" y="11342687"/>
          <a:ext cx="13267531" cy="301626"/>
        </a:xfrm>
        <a:prstGeom prst="borderCallout1">
          <a:avLst>
            <a:gd name="adj1" fmla="val -901"/>
            <a:gd name="adj2" fmla="val 46359"/>
            <a:gd name="adj3" fmla="val -2062361"/>
            <a:gd name="adj4" fmla="val 50965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C15=0;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E15&lt;D15;$G$3*(D15-E15);$G$4*(E15-D15)); 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E15&lt;D15;$G$3*(D15-E15)+$G$9*$G$6;$G$4*(E15-D15)+$G$9*$G$6))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226221</xdr:colOff>
      <xdr:row>12</xdr:row>
      <xdr:rowOff>31750</xdr:rowOff>
    </xdr:from>
    <xdr:to>
      <xdr:col>16</xdr:col>
      <xdr:colOff>1</xdr:colOff>
      <xdr:row>27</xdr:row>
      <xdr:rowOff>83343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4"/>
  <sheetViews>
    <sheetView workbookViewId="0">
      <selection activeCell="C22" sqref="C22"/>
    </sheetView>
  </sheetViews>
  <sheetFormatPr defaultRowHeight="20.25" x14ac:dyDescent="0.3"/>
  <cols>
    <col min="1" max="1" width="9.140625" style="33"/>
    <col min="2" max="2" width="11.42578125" style="33" customWidth="1"/>
    <col min="3" max="3" width="9.140625" style="33"/>
    <col min="4" max="4" width="16" style="33" customWidth="1"/>
    <col min="5" max="5" width="29" style="33" customWidth="1"/>
    <col min="6" max="6" width="16" style="33" bestFit="1" customWidth="1"/>
    <col min="7" max="16384" width="9.140625" style="33"/>
  </cols>
  <sheetData>
    <row r="1" spans="2:6" ht="21" thickBot="1" x14ac:dyDescent="0.35"/>
    <row r="2" spans="2:6" ht="24.75" x14ac:dyDescent="0.45">
      <c r="B2" s="169" t="s">
        <v>6</v>
      </c>
      <c r="C2" s="170"/>
      <c r="D2" s="170"/>
      <c r="E2" s="170"/>
      <c r="F2" s="54">
        <f>1/7</f>
        <v>0.14285714285714285</v>
      </c>
    </row>
    <row r="3" spans="2:6" ht="25.5" thickBot="1" x14ac:dyDescent="0.5">
      <c r="B3" s="171" t="s">
        <v>5</v>
      </c>
      <c r="C3" s="172"/>
      <c r="D3" s="172"/>
      <c r="E3" s="172"/>
      <c r="F3" s="54">
        <f>1/8</f>
        <v>0.125</v>
      </c>
    </row>
    <row r="6" spans="2:6" s="114" customFormat="1" ht="81" x14ac:dyDescent="0.25">
      <c r="B6" s="173" t="s">
        <v>0</v>
      </c>
      <c r="C6" s="174" t="s">
        <v>1</v>
      </c>
      <c r="D6" s="174" t="s">
        <v>2</v>
      </c>
      <c r="E6" s="174" t="s">
        <v>3</v>
      </c>
      <c r="F6" s="175" t="s">
        <v>4</v>
      </c>
    </row>
    <row r="7" spans="2:6" x14ac:dyDescent="0.3">
      <c r="B7" s="54">
        <v>1</v>
      </c>
      <c r="C7" s="176">
        <v>0</v>
      </c>
      <c r="D7" s="176">
        <f ca="1">-$F$2*LN(RAND())</f>
        <v>0.31628887547471957</v>
      </c>
      <c r="E7" s="176">
        <f ca="1">-$F$3*LN(RAND())</f>
        <v>1.9153803500575411E-2</v>
      </c>
      <c r="F7" s="176">
        <f ca="1">SUM(C7:D7)-E7</f>
        <v>0.29713507197414413</v>
      </c>
    </row>
    <row r="8" spans="2:6" x14ac:dyDescent="0.3">
      <c r="B8" s="54">
        <v>2</v>
      </c>
      <c r="C8" s="176">
        <f ca="1">IF(F7&gt;0,F7,0)</f>
        <v>0.29713507197414413</v>
      </c>
      <c r="D8" s="176">
        <f t="shared" ref="D8:D16" ca="1" si="0">-$F$2*LN(RAND())</f>
        <v>0.10614621112910527</v>
      </c>
      <c r="E8" s="176">
        <f t="shared" ref="E8:E16" ca="1" si="1">-$F$3*LN(RAND())</f>
        <v>0.23019338713801141</v>
      </c>
      <c r="F8" s="176">
        <f t="shared" ref="F8:F16" ca="1" si="2">SUM(C8:D8)-E8</f>
        <v>0.17308789596523799</v>
      </c>
    </row>
    <row r="9" spans="2:6" x14ac:dyDescent="0.3">
      <c r="B9" s="54">
        <v>3</v>
      </c>
      <c r="C9" s="176">
        <f t="shared" ref="C9:C16" ca="1" si="3">IF(F8&gt;0,F8,0)</f>
        <v>0.17308789596523799</v>
      </c>
      <c r="D9" s="176">
        <f t="shared" ca="1" si="0"/>
        <v>8.0100128299735365E-3</v>
      </c>
      <c r="E9" s="176">
        <f t="shared" ca="1" si="1"/>
        <v>0.10127617515567081</v>
      </c>
      <c r="F9" s="176">
        <f t="shared" ca="1" si="2"/>
        <v>7.9821733639540732E-2</v>
      </c>
    </row>
    <row r="10" spans="2:6" x14ac:dyDescent="0.3">
      <c r="B10" s="54">
        <v>4</v>
      </c>
      <c r="C10" s="176">
        <f t="shared" ca="1" si="3"/>
        <v>7.9821733639540732E-2</v>
      </c>
      <c r="D10" s="176">
        <f t="shared" ca="1" si="0"/>
        <v>1.4510205076171307E-2</v>
      </c>
      <c r="E10" s="176">
        <f t="shared" ca="1" si="1"/>
        <v>1.1448150116116888E-3</v>
      </c>
      <c r="F10" s="176">
        <f t="shared" ca="1" si="2"/>
        <v>9.3187123704100344E-2</v>
      </c>
    </row>
    <row r="11" spans="2:6" x14ac:dyDescent="0.3">
      <c r="B11" s="54">
        <v>5</v>
      </c>
      <c r="C11" s="176">
        <f t="shared" ca="1" si="3"/>
        <v>9.3187123704100344E-2</v>
      </c>
      <c r="D11" s="176">
        <f t="shared" ca="1" si="0"/>
        <v>7.9974666401551736E-2</v>
      </c>
      <c r="E11" s="176">
        <f t="shared" ca="1" si="1"/>
        <v>2.459188422827796E-2</v>
      </c>
      <c r="F11" s="176">
        <f t="shared" ca="1" si="2"/>
        <v>0.14856990587737412</v>
      </c>
    </row>
    <row r="12" spans="2:6" x14ac:dyDescent="0.3">
      <c r="B12" s="54">
        <v>6</v>
      </c>
      <c r="C12" s="176">
        <f t="shared" ca="1" si="3"/>
        <v>0.14856990587737412</v>
      </c>
      <c r="D12" s="176">
        <f t="shared" ca="1" si="0"/>
        <v>4.3495651483522885E-2</v>
      </c>
      <c r="E12" s="176">
        <f t="shared" ca="1" si="1"/>
        <v>0.16450746127648291</v>
      </c>
      <c r="F12" s="176">
        <f t="shared" ca="1" si="2"/>
        <v>2.7558096084414091E-2</v>
      </c>
    </row>
    <row r="13" spans="2:6" x14ac:dyDescent="0.3">
      <c r="B13" s="54">
        <v>7</v>
      </c>
      <c r="C13" s="176">
        <f t="shared" ca="1" si="3"/>
        <v>2.7558096084414091E-2</v>
      </c>
      <c r="D13" s="176">
        <f t="shared" ca="1" si="0"/>
        <v>0.4240167256140453</v>
      </c>
      <c r="E13" s="176">
        <f t="shared" ca="1" si="1"/>
        <v>5.7471478506393517E-3</v>
      </c>
      <c r="F13" s="176">
        <f t="shared" ca="1" si="2"/>
        <v>0.44582767384782007</v>
      </c>
    </row>
    <row r="14" spans="2:6" x14ac:dyDescent="0.3">
      <c r="B14" s="54">
        <v>8</v>
      </c>
      <c r="C14" s="176">
        <f t="shared" ca="1" si="3"/>
        <v>0.44582767384782007</v>
      </c>
      <c r="D14" s="176">
        <f t="shared" ca="1" si="0"/>
        <v>7.6765263847082849E-2</v>
      </c>
      <c r="E14" s="176">
        <f t="shared" ca="1" si="1"/>
        <v>2.0097896476299917E-2</v>
      </c>
      <c r="F14" s="176">
        <f t="shared" ca="1" si="2"/>
        <v>0.502495041218603</v>
      </c>
    </row>
    <row r="15" spans="2:6" x14ac:dyDescent="0.3">
      <c r="B15" s="54">
        <v>9</v>
      </c>
      <c r="C15" s="176">
        <f t="shared" ca="1" si="3"/>
        <v>0.502495041218603</v>
      </c>
      <c r="D15" s="176">
        <f t="shared" ca="1" si="0"/>
        <v>0.12271463138067534</v>
      </c>
      <c r="E15" s="176">
        <f t="shared" ca="1" si="1"/>
        <v>0.12579923497490081</v>
      </c>
      <c r="F15" s="176">
        <f t="shared" ca="1" si="2"/>
        <v>0.49941043762437759</v>
      </c>
    </row>
    <row r="16" spans="2:6" x14ac:dyDescent="0.3">
      <c r="B16" s="54">
        <v>10</v>
      </c>
      <c r="C16" s="176">
        <f t="shared" ca="1" si="3"/>
        <v>0.49941043762437759</v>
      </c>
      <c r="D16" s="176">
        <f t="shared" ca="1" si="0"/>
        <v>0.17601164767026189</v>
      </c>
      <c r="E16" s="176">
        <f t="shared" ca="1" si="1"/>
        <v>0.15092427230049674</v>
      </c>
      <c r="F16" s="176">
        <f t="shared" ca="1" si="2"/>
        <v>0.52449781299414278</v>
      </c>
    </row>
    <row r="22" spans="2:6" x14ac:dyDescent="0.3">
      <c r="B22" s="33" t="s">
        <v>20</v>
      </c>
      <c r="C22" s="35">
        <f ca="1">SUM(C7:C16)</f>
        <v>2.2670929799356121</v>
      </c>
    </row>
    <row r="23" spans="2:6" ht="24.75" x14ac:dyDescent="0.45">
      <c r="B23" s="33" t="s">
        <v>21</v>
      </c>
      <c r="C23" s="35">
        <f ca="1">SUM(D7:D16)</f>
        <v>1.3679338909071097</v>
      </c>
      <c r="E23" s="32" t="s">
        <v>88</v>
      </c>
      <c r="F23" s="34">
        <f ca="1">C23/C24</f>
        <v>0.37632015924822487</v>
      </c>
    </row>
    <row r="24" spans="2:6" x14ac:dyDescent="0.3">
      <c r="B24" s="33" t="s">
        <v>22</v>
      </c>
      <c r="C24" s="35">
        <f ca="1">SUM(C22:C23)</f>
        <v>3.6350268708427218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4"/>
  <sheetViews>
    <sheetView workbookViewId="0">
      <selection activeCell="B6" sqref="B6:D16"/>
    </sheetView>
  </sheetViews>
  <sheetFormatPr defaultRowHeight="20.25" x14ac:dyDescent="0.3"/>
  <cols>
    <col min="1" max="1" width="9.140625" style="33"/>
    <col min="2" max="2" width="11.42578125" style="33" customWidth="1"/>
    <col min="3" max="3" width="10.7109375" style="33" customWidth="1"/>
    <col min="4" max="4" width="16" style="33" customWidth="1"/>
    <col min="5" max="5" width="29" style="33" customWidth="1"/>
    <col min="6" max="6" width="16" style="33" bestFit="1" customWidth="1"/>
    <col min="7" max="16384" width="9.140625" style="33"/>
  </cols>
  <sheetData>
    <row r="1" spans="2:6" ht="21" thickBot="1" x14ac:dyDescent="0.35"/>
    <row r="2" spans="2:6" ht="24.75" x14ac:dyDescent="0.45">
      <c r="B2" s="169" t="s">
        <v>6</v>
      </c>
      <c r="C2" s="170"/>
      <c r="D2" s="170"/>
      <c r="E2" s="170"/>
      <c r="F2" s="54">
        <f>1/2</f>
        <v>0.5</v>
      </c>
    </row>
    <row r="3" spans="2:6" ht="25.5" thickBot="1" x14ac:dyDescent="0.5">
      <c r="B3" s="171" t="s">
        <v>5</v>
      </c>
      <c r="C3" s="172"/>
      <c r="D3" s="172"/>
      <c r="E3" s="172"/>
      <c r="F3" s="54">
        <v>1</v>
      </c>
    </row>
    <row r="6" spans="2:6" s="114" customFormat="1" ht="81" x14ac:dyDescent="0.25">
      <c r="B6" s="173" t="s">
        <v>0</v>
      </c>
      <c r="C6" s="174" t="s">
        <v>1</v>
      </c>
      <c r="D6" s="174" t="s">
        <v>2</v>
      </c>
      <c r="E6" s="174" t="s">
        <v>3</v>
      </c>
      <c r="F6" s="175" t="s">
        <v>4</v>
      </c>
    </row>
    <row r="7" spans="2:6" x14ac:dyDescent="0.3">
      <c r="B7" s="54">
        <v>1</v>
      </c>
      <c r="C7" s="176">
        <v>0</v>
      </c>
      <c r="D7" s="176">
        <f ca="1">-$F$2*LN(RAND())</f>
        <v>0.53553253520917454</v>
      </c>
      <c r="E7" s="176">
        <f ca="1">-$F$3*LN(RAND())</f>
        <v>0.41246490490034166</v>
      </c>
      <c r="F7" s="176">
        <f ca="1">SUM(C7:D7)-E7</f>
        <v>0.12306763030883289</v>
      </c>
    </row>
    <row r="8" spans="2:6" x14ac:dyDescent="0.3">
      <c r="B8" s="54">
        <v>2</v>
      </c>
      <c r="C8" s="176">
        <f ca="1">IF(F7&gt;0,F7,0)</f>
        <v>0.12306763030883289</v>
      </c>
      <c r="D8" s="176">
        <f t="shared" ref="D8:D16" ca="1" si="0">-$F$2*LN(RAND())</f>
        <v>1.4141234112004115</v>
      </c>
      <c r="E8" s="176">
        <f t="shared" ref="E8:E16" ca="1" si="1">-$F$3*LN(RAND())</f>
        <v>1.1144023733038193</v>
      </c>
      <c r="F8" s="176">
        <f t="shared" ref="F8:F16" ca="1" si="2">SUM(C8:D8)-E8</f>
        <v>0.42278866820542516</v>
      </c>
    </row>
    <row r="9" spans="2:6" x14ac:dyDescent="0.3">
      <c r="B9" s="54">
        <v>3</v>
      </c>
      <c r="C9" s="176">
        <f t="shared" ref="C9:C16" ca="1" si="3">IF(F8&gt;0,F8,0)</f>
        <v>0.42278866820542516</v>
      </c>
      <c r="D9" s="176">
        <f t="shared" ca="1" si="0"/>
        <v>0.41230200639395403</v>
      </c>
      <c r="E9" s="176">
        <f t="shared" ca="1" si="1"/>
        <v>0.79822676967527462</v>
      </c>
      <c r="F9" s="176">
        <f t="shared" ca="1" si="2"/>
        <v>3.6863904924104518E-2</v>
      </c>
    </row>
    <row r="10" spans="2:6" x14ac:dyDescent="0.3">
      <c r="B10" s="54">
        <v>4</v>
      </c>
      <c r="C10" s="176">
        <f t="shared" ca="1" si="3"/>
        <v>3.6863904924104518E-2</v>
      </c>
      <c r="D10" s="176">
        <f t="shared" ca="1" si="0"/>
        <v>0.10973370689463957</v>
      </c>
      <c r="E10" s="176">
        <f t="shared" ca="1" si="1"/>
        <v>0.14311990471014091</v>
      </c>
      <c r="F10" s="176">
        <f t="shared" ca="1" si="2"/>
        <v>3.4777071086031786E-3</v>
      </c>
    </row>
    <row r="11" spans="2:6" x14ac:dyDescent="0.3">
      <c r="B11" s="54">
        <v>5</v>
      </c>
      <c r="C11" s="176">
        <f t="shared" ca="1" si="3"/>
        <v>3.4777071086031786E-3</v>
      </c>
      <c r="D11" s="176">
        <f t="shared" ca="1" si="0"/>
        <v>0.49437788988835268</v>
      </c>
      <c r="E11" s="176">
        <f t="shared" ca="1" si="1"/>
        <v>0.44006465704233078</v>
      </c>
      <c r="F11" s="176">
        <f t="shared" ca="1" si="2"/>
        <v>5.7790939954625087E-2</v>
      </c>
    </row>
    <row r="12" spans="2:6" x14ac:dyDescent="0.3">
      <c r="B12" s="54">
        <v>6</v>
      </c>
      <c r="C12" s="176">
        <f t="shared" ca="1" si="3"/>
        <v>5.7790939954625087E-2</v>
      </c>
      <c r="D12" s="176">
        <f t="shared" ca="1" si="0"/>
        <v>7.4665597803332373E-2</v>
      </c>
      <c r="E12" s="176">
        <f t="shared" ca="1" si="1"/>
        <v>0.8232905059390857</v>
      </c>
      <c r="F12" s="176">
        <f t="shared" ca="1" si="2"/>
        <v>-0.69083396818112819</v>
      </c>
    </row>
    <row r="13" spans="2:6" x14ac:dyDescent="0.3">
      <c r="B13" s="54">
        <v>7</v>
      </c>
      <c r="C13" s="176">
        <f t="shared" ca="1" si="3"/>
        <v>0</v>
      </c>
      <c r="D13" s="176">
        <f t="shared" ca="1" si="0"/>
        <v>0.11954939046166679</v>
      </c>
      <c r="E13" s="176">
        <f t="shared" ca="1" si="1"/>
        <v>0.75087760346278987</v>
      </c>
      <c r="F13" s="176">
        <f t="shared" ca="1" si="2"/>
        <v>-0.63132821300112307</v>
      </c>
    </row>
    <row r="14" spans="2:6" x14ac:dyDescent="0.3">
      <c r="B14" s="54">
        <v>8</v>
      </c>
      <c r="C14" s="176">
        <f t="shared" ca="1" si="3"/>
        <v>0</v>
      </c>
      <c r="D14" s="176">
        <f t="shared" ca="1" si="0"/>
        <v>0.33909350049014003</v>
      </c>
      <c r="E14" s="176">
        <f t="shared" ca="1" si="1"/>
        <v>0.41265277315993226</v>
      </c>
      <c r="F14" s="176">
        <f t="shared" ca="1" si="2"/>
        <v>-7.3559272669792231E-2</v>
      </c>
    </row>
    <row r="15" spans="2:6" x14ac:dyDescent="0.3">
      <c r="B15" s="54">
        <v>9</v>
      </c>
      <c r="C15" s="176">
        <f t="shared" ca="1" si="3"/>
        <v>0</v>
      </c>
      <c r="D15" s="176">
        <f t="shared" ca="1" si="0"/>
        <v>1.6105349152168727E-2</v>
      </c>
      <c r="E15" s="176">
        <f t="shared" ca="1" si="1"/>
        <v>0.32765914232575194</v>
      </c>
      <c r="F15" s="176">
        <f t="shared" ca="1" si="2"/>
        <v>-0.31155379317358323</v>
      </c>
    </row>
    <row r="16" spans="2:6" x14ac:dyDescent="0.3">
      <c r="B16" s="54">
        <v>10</v>
      </c>
      <c r="C16" s="176">
        <f t="shared" ca="1" si="3"/>
        <v>0</v>
      </c>
      <c r="D16" s="176">
        <f t="shared" ca="1" si="0"/>
        <v>0.41506370490842648</v>
      </c>
      <c r="E16" s="176">
        <f t="shared" ca="1" si="1"/>
        <v>1.6769218353788324</v>
      </c>
      <c r="F16" s="176">
        <f t="shared" ca="1" si="2"/>
        <v>-1.261858130470406</v>
      </c>
    </row>
    <row r="22" spans="2:6" x14ac:dyDescent="0.3">
      <c r="B22" s="33" t="s">
        <v>20</v>
      </c>
      <c r="C22" s="35">
        <f ca="1">SUM(C7:C16)</f>
        <v>0.64398885050159094</v>
      </c>
    </row>
    <row r="23" spans="2:6" ht="24.75" x14ac:dyDescent="0.45">
      <c r="B23" s="33" t="s">
        <v>21</v>
      </c>
      <c r="C23" s="35">
        <f ca="1">SUM(D7:D16)</f>
        <v>3.930547092402267</v>
      </c>
      <c r="E23" s="32" t="s">
        <v>88</v>
      </c>
      <c r="F23" s="34">
        <f ca="1">C23/C24</f>
        <v>0.8592231302717025</v>
      </c>
    </row>
    <row r="24" spans="2:6" x14ac:dyDescent="0.3">
      <c r="B24" s="33" t="s">
        <v>22</v>
      </c>
      <c r="C24" s="35">
        <f ca="1">SUM(C22:C23)</f>
        <v>4.5745359429038581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0"/>
  <sheetViews>
    <sheetView zoomScale="70" zoomScaleNormal="70" workbookViewId="0">
      <selection activeCell="D8" sqref="D8"/>
    </sheetView>
  </sheetViews>
  <sheetFormatPr defaultRowHeight="20.25" x14ac:dyDescent="0.25"/>
  <cols>
    <col min="1" max="1" width="9.140625" style="2"/>
    <col min="2" max="2" width="14.5703125" style="2" customWidth="1"/>
    <col min="3" max="3" width="14" style="2" customWidth="1"/>
    <col min="4" max="4" width="16" style="2" customWidth="1"/>
    <col min="5" max="5" width="19.28515625" style="2" customWidth="1"/>
    <col min="6" max="6" width="18.140625" style="2" customWidth="1"/>
    <col min="7" max="7" width="13.7109375" style="2" customWidth="1"/>
    <col min="8" max="8" width="9.140625" style="2" hidden="1" customWidth="1"/>
    <col min="9" max="9" width="11.85546875" style="2" customWidth="1"/>
    <col min="10" max="10" width="21.5703125" style="2" customWidth="1"/>
    <col min="11" max="11" width="13.140625" style="2" customWidth="1"/>
    <col min="12" max="16384" width="9.140625" style="2"/>
  </cols>
  <sheetData>
    <row r="1" spans="2:12" ht="21" thickBot="1" x14ac:dyDescent="0.3"/>
    <row r="2" spans="2:12" ht="30" customHeight="1" thickBot="1" x14ac:dyDescent="0.3">
      <c r="B2" s="7" t="s">
        <v>6</v>
      </c>
      <c r="C2" s="8"/>
      <c r="D2" s="8"/>
      <c r="E2" s="8"/>
      <c r="F2" s="9">
        <v>7</v>
      </c>
      <c r="G2" s="2" t="s">
        <v>8</v>
      </c>
      <c r="H2" s="10" t="s">
        <v>7</v>
      </c>
      <c r="I2" s="11"/>
      <c r="J2" s="6"/>
      <c r="K2" s="15"/>
      <c r="L2" s="11"/>
    </row>
    <row r="3" spans="2:12" ht="27.75" thickBot="1" x14ac:dyDescent="0.3">
      <c r="B3" s="12" t="s">
        <v>5</v>
      </c>
      <c r="C3" s="13"/>
      <c r="D3" s="13"/>
      <c r="E3" s="13"/>
      <c r="F3" s="9">
        <v>8</v>
      </c>
      <c r="G3" s="2" t="s">
        <v>8</v>
      </c>
    </row>
    <row r="4" spans="2:12" ht="11.25" customHeight="1" x14ac:dyDescent="0.25"/>
    <row r="5" spans="2:12" ht="9" customHeight="1" x14ac:dyDescent="0.25"/>
    <row r="6" spans="2:12" ht="102" customHeight="1" x14ac:dyDescent="0.25">
      <c r="B6" s="3" t="s">
        <v>0</v>
      </c>
      <c r="C6" s="4" t="s">
        <v>9</v>
      </c>
      <c r="D6" s="4" t="s">
        <v>12</v>
      </c>
      <c r="E6" s="4" t="s">
        <v>10</v>
      </c>
      <c r="F6" s="4" t="s">
        <v>13</v>
      </c>
      <c r="G6" s="4" t="s">
        <v>14</v>
      </c>
      <c r="H6" s="4" t="s">
        <v>11</v>
      </c>
      <c r="I6" s="4" t="s">
        <v>15</v>
      </c>
      <c r="J6" s="4" t="s">
        <v>16</v>
      </c>
    </row>
    <row r="7" spans="2:12" x14ac:dyDescent="0.25">
      <c r="B7" s="3"/>
      <c r="C7" s="16"/>
      <c r="D7" s="16">
        <v>0.375</v>
      </c>
      <c r="E7" s="16"/>
      <c r="F7" s="14"/>
      <c r="G7" s="16"/>
      <c r="H7" s="16"/>
      <c r="I7" s="16"/>
      <c r="J7" s="16"/>
    </row>
    <row r="8" spans="2:12" x14ac:dyDescent="0.25">
      <c r="B8" s="5">
        <v>1</v>
      </c>
      <c r="C8" s="18">
        <v>0</v>
      </c>
      <c r="D8" s="17">
        <f>D7</f>
        <v>0.375</v>
      </c>
      <c r="E8" s="18">
        <f ca="1">-$F$2*LN(RAND())</f>
        <v>1.5462587935063821</v>
      </c>
      <c r="F8" s="17">
        <f t="shared" ref="F8:F14" ca="1" si="0">E8/1440</f>
        <v>1.0737908288238765E-3</v>
      </c>
      <c r="G8" s="17">
        <v>0.375</v>
      </c>
      <c r="H8" s="17"/>
      <c r="I8" s="16">
        <f ca="1">F8+G8</f>
        <v>0.37607379082882386</v>
      </c>
      <c r="J8" s="17">
        <v>0</v>
      </c>
    </row>
    <row r="9" spans="2:12" x14ac:dyDescent="0.25">
      <c r="B9" s="5">
        <v>2</v>
      </c>
      <c r="C9" s="18">
        <f t="shared" ref="C9:C14" ca="1" si="1">-$F$3*LN(RAND())</f>
        <v>20.125994769484123</v>
      </c>
      <c r="D9" s="17">
        <f t="shared" ref="D9:D14" ca="1" si="2">D8+C9/1440</f>
        <v>0.38897638525658618</v>
      </c>
      <c r="E9" s="18">
        <f t="shared" ref="E9:E14" ca="1" si="3">-$F$2*LN(RAND())</f>
        <v>4.508571587745587E-2</v>
      </c>
      <c r="F9" s="17">
        <f t="shared" ca="1" si="0"/>
        <v>3.1309524914899912E-5</v>
      </c>
      <c r="G9" s="17">
        <f t="shared" ref="G9:G14" ca="1" si="4">J8+I8</f>
        <v>0.37607379082882386</v>
      </c>
      <c r="H9" s="17"/>
      <c r="I9" s="16">
        <f t="shared" ref="I9:I14" ca="1" si="5">F9+G9</f>
        <v>0.37610510035373879</v>
      </c>
      <c r="J9" s="17">
        <f t="shared" ref="J9:J14" ca="1" si="6">IF((E8-C9)&gt;0,(E8-C9)/1440,0)</f>
        <v>0</v>
      </c>
    </row>
    <row r="10" spans="2:12" x14ac:dyDescent="0.25">
      <c r="B10" s="5">
        <v>3</v>
      </c>
      <c r="C10" s="18">
        <f t="shared" ca="1" si="1"/>
        <v>15.703613656639199</v>
      </c>
      <c r="D10" s="17">
        <f t="shared" ca="1" si="2"/>
        <v>0.39988167251814116</v>
      </c>
      <c r="E10" s="18">
        <f t="shared" ca="1" si="3"/>
        <v>17.789764562668193</v>
      </c>
      <c r="F10" s="17">
        <f t="shared" ca="1" si="0"/>
        <v>1.2354003168519579E-2</v>
      </c>
      <c r="G10" s="17">
        <f t="shared" ca="1" si="4"/>
        <v>0.37610510035373879</v>
      </c>
      <c r="H10" s="17"/>
      <c r="I10" s="16">
        <f t="shared" ca="1" si="5"/>
        <v>0.38845910352225838</v>
      </c>
      <c r="J10" s="17">
        <f t="shared" ca="1" si="6"/>
        <v>0</v>
      </c>
    </row>
    <row r="11" spans="2:12" x14ac:dyDescent="0.25">
      <c r="B11" s="5">
        <v>4</v>
      </c>
      <c r="C11" s="18">
        <f t="shared" ca="1" si="1"/>
        <v>7.3573930315792371</v>
      </c>
      <c r="D11" s="17">
        <f t="shared" ca="1" si="2"/>
        <v>0.40499097323451561</v>
      </c>
      <c r="E11" s="18">
        <f t="shared" ca="1" si="3"/>
        <v>6.4117216903237901</v>
      </c>
      <c r="F11" s="17">
        <f t="shared" ca="1" si="0"/>
        <v>4.4525845071692986E-3</v>
      </c>
      <c r="G11" s="17">
        <f t="shared" ca="1" si="4"/>
        <v>0.38845910352225838</v>
      </c>
      <c r="H11" s="17"/>
      <c r="I11" s="16">
        <f t="shared" ca="1" si="5"/>
        <v>0.39291168802942766</v>
      </c>
      <c r="J11" s="17">
        <f t="shared" ca="1" si="6"/>
        <v>7.2447024521451082E-3</v>
      </c>
    </row>
    <row r="12" spans="2:12" x14ac:dyDescent="0.25">
      <c r="B12" s="5">
        <v>5</v>
      </c>
      <c r="C12" s="18">
        <f t="shared" ca="1" si="1"/>
        <v>9.6517853246871734</v>
      </c>
      <c r="D12" s="17">
        <f t="shared" ca="1" si="2"/>
        <v>0.41169360193221505</v>
      </c>
      <c r="E12" s="18">
        <f t="shared" ca="1" si="3"/>
        <v>11.462935871373125</v>
      </c>
      <c r="F12" s="17">
        <f t="shared" ca="1" si="0"/>
        <v>7.9603721328980036E-3</v>
      </c>
      <c r="G12" s="17">
        <f t="shared" ca="1" si="4"/>
        <v>0.40015639048157275</v>
      </c>
      <c r="H12" s="17"/>
      <c r="I12" s="16">
        <f t="shared" ca="1" si="5"/>
        <v>0.40811676261447077</v>
      </c>
      <c r="J12" s="17">
        <f t="shared" ca="1" si="6"/>
        <v>0</v>
      </c>
    </row>
    <row r="13" spans="2:12" x14ac:dyDescent="0.25">
      <c r="B13" s="5">
        <v>6</v>
      </c>
      <c r="C13" s="18">
        <f t="shared" ca="1" si="1"/>
        <v>1.6060225218896862</v>
      </c>
      <c r="D13" s="17">
        <f t="shared" ca="1" si="2"/>
        <v>0.41280889535019399</v>
      </c>
      <c r="E13" s="18">
        <f t="shared" ca="1" si="3"/>
        <v>1.9957927911469819</v>
      </c>
      <c r="F13" s="17">
        <f t="shared" ca="1" si="0"/>
        <v>1.3859672160742931E-3</v>
      </c>
      <c r="G13" s="17">
        <f t="shared" ca="1" si="4"/>
        <v>0.40811676261447077</v>
      </c>
      <c r="H13" s="17"/>
      <c r="I13" s="16">
        <f t="shared" ca="1" si="5"/>
        <v>0.40950272983054509</v>
      </c>
      <c r="J13" s="17">
        <f t="shared" ca="1" si="6"/>
        <v>6.8450787149190546E-3</v>
      </c>
    </row>
    <row r="14" spans="2:12" x14ac:dyDescent="0.25">
      <c r="B14" s="5">
        <v>7</v>
      </c>
      <c r="C14" s="18">
        <f t="shared" ca="1" si="1"/>
        <v>4.6541255283661336</v>
      </c>
      <c r="D14" s="17">
        <f t="shared" ca="1" si="2"/>
        <v>0.41604092696711492</v>
      </c>
      <c r="E14" s="18">
        <f t="shared" ca="1" si="3"/>
        <v>0.49456434309221131</v>
      </c>
      <c r="F14" s="17">
        <f t="shared" ca="1" si="0"/>
        <v>3.4344746048070232E-4</v>
      </c>
      <c r="G14" s="17">
        <f t="shared" ca="1" si="4"/>
        <v>0.41634780854546416</v>
      </c>
      <c r="H14" s="17"/>
      <c r="I14" s="16">
        <f t="shared" ca="1" si="5"/>
        <v>0.41669125600594487</v>
      </c>
      <c r="J14" s="17">
        <f t="shared" ca="1" si="6"/>
        <v>0</v>
      </c>
    </row>
    <row r="16" spans="2:12" x14ac:dyDescent="0.25">
      <c r="D16" s="19"/>
      <c r="E16" s="20"/>
      <c r="F16" s="19"/>
    </row>
    <row r="18" spans="2:10" ht="54" customHeight="1" x14ac:dyDescent="0.3">
      <c r="B18" s="22" t="s">
        <v>17</v>
      </c>
      <c r="C18" s="29" t="s">
        <v>23</v>
      </c>
      <c r="D18" s="28">
        <f ca="1">I14-D7</f>
        <v>4.1691256005944866E-2</v>
      </c>
    </row>
    <row r="19" spans="2:10" ht="81" x14ac:dyDescent="0.3">
      <c r="B19" s="23" t="s">
        <v>18</v>
      </c>
      <c r="C19" s="31" t="s">
        <v>24</v>
      </c>
      <c r="E19" s="24">
        <f ca="1">SUM(F8:F14)</f>
        <v>2.760147483888065E-2</v>
      </c>
      <c r="F19" s="27"/>
      <c r="G19" s="30" t="s">
        <v>19</v>
      </c>
      <c r="J19" s="26">
        <f ca="1">E19/D18</f>
        <v>0.66204469433458379</v>
      </c>
    </row>
    <row r="20" spans="2:10" x14ac:dyDescent="0.25">
      <c r="C20" s="2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3"/>
  <sheetViews>
    <sheetView workbookViewId="0">
      <selection activeCell="D8" sqref="D8"/>
    </sheetView>
  </sheetViews>
  <sheetFormatPr defaultRowHeight="20.25" x14ac:dyDescent="0.3"/>
  <cols>
    <col min="1" max="1" width="9.140625" style="1"/>
    <col min="2" max="2" width="11.140625" style="1" customWidth="1"/>
    <col min="3" max="3" width="15.7109375" style="1" customWidth="1"/>
    <col min="4" max="4" width="11.5703125" style="1" customWidth="1"/>
    <col min="5" max="5" width="12" style="1" customWidth="1"/>
    <col min="6" max="6" width="10.7109375" style="1" customWidth="1"/>
    <col min="7" max="7" width="11.42578125" style="1" customWidth="1"/>
    <col min="8" max="8" width="10" style="1" customWidth="1"/>
    <col min="9" max="9" width="16.28515625" style="1" customWidth="1"/>
    <col min="10" max="16384" width="9.140625" style="1"/>
  </cols>
  <sheetData>
    <row r="1" spans="2:9" ht="21" thickBot="1" x14ac:dyDescent="0.35"/>
    <row r="2" spans="2:9" ht="24" thickBot="1" x14ac:dyDescent="0.45">
      <c r="B2" s="37" t="s">
        <v>33</v>
      </c>
      <c r="C2" s="36"/>
      <c r="D2" s="36"/>
      <c r="E2" s="36"/>
      <c r="F2" s="47">
        <v>8</v>
      </c>
      <c r="G2" s="38" t="s">
        <v>8</v>
      </c>
    </row>
    <row r="3" spans="2:9" ht="24" thickBot="1" x14ac:dyDescent="0.45">
      <c r="B3" s="37" t="s">
        <v>34</v>
      </c>
      <c r="C3" s="36"/>
      <c r="D3" s="36"/>
      <c r="E3" s="36"/>
      <c r="F3" s="47">
        <v>9</v>
      </c>
      <c r="G3" s="38" t="s">
        <v>8</v>
      </c>
    </row>
    <row r="4" spans="2:9" ht="21" thickBot="1" x14ac:dyDescent="0.35"/>
    <row r="5" spans="2:9" s="21" customFormat="1" ht="19.5" customHeight="1" thickBot="1" x14ac:dyDescent="0.3">
      <c r="B5" s="133" t="s">
        <v>25</v>
      </c>
      <c r="C5" s="133" t="s">
        <v>26</v>
      </c>
      <c r="D5" s="133" t="s">
        <v>27</v>
      </c>
      <c r="E5" s="135" t="s">
        <v>28</v>
      </c>
      <c r="F5" s="136"/>
      <c r="G5" s="137" t="s">
        <v>29</v>
      </c>
      <c r="H5" s="138"/>
      <c r="I5" s="131" t="s">
        <v>32</v>
      </c>
    </row>
    <row r="6" spans="2:9" s="39" customFormat="1" ht="42.75" customHeight="1" thickBot="1" x14ac:dyDescent="0.35">
      <c r="B6" s="134"/>
      <c r="C6" s="134"/>
      <c r="D6" s="134"/>
      <c r="E6" s="40" t="s">
        <v>30</v>
      </c>
      <c r="F6" s="40" t="s">
        <v>31</v>
      </c>
      <c r="G6" s="40" t="s">
        <v>30</v>
      </c>
      <c r="H6" s="40" t="s">
        <v>31</v>
      </c>
      <c r="I6" s="132"/>
    </row>
    <row r="7" spans="2:9" ht="22.5" x14ac:dyDescent="0.3">
      <c r="B7" s="41">
        <v>1</v>
      </c>
      <c r="C7" s="42">
        <v>0.375</v>
      </c>
      <c r="D7" s="42"/>
      <c r="E7" s="42"/>
      <c r="F7" s="42"/>
      <c r="G7" s="42"/>
      <c r="H7" s="42"/>
      <c r="I7" s="42"/>
    </row>
    <row r="8" spans="2:9" ht="22.5" x14ac:dyDescent="0.3">
      <c r="B8" s="43">
        <v>2</v>
      </c>
      <c r="C8" s="44">
        <f t="shared" ref="C8:C13" ca="1" si="0">C7+(-$F$2*LN(RAND()))/1440</f>
        <v>0.37565381370893514</v>
      </c>
      <c r="D8" s="44">
        <f t="shared" ref="D8:D13" ca="1" si="1">-$F$3*LN(RAND())/1440</f>
        <v>5.0147752780827697E-4</v>
      </c>
      <c r="E8" s="44">
        <f ca="1">IF(MAX(F$7:F7)&lt;=MAX(H$7:H7),MAX(F$7:F7,C8),"")</f>
        <v>0.37565381370893514</v>
      </c>
      <c r="F8" s="44">
        <f t="shared" ref="F8:F13" ca="1" si="2">IF(ISTEXT(E8),"",E8+D8)</f>
        <v>0.37615529123674341</v>
      </c>
      <c r="G8" s="44" t="str">
        <f>IF(MAX(F$7:F7)&gt;MAX(H$7:H7),MAX(H$7:H7,C8),"")</f>
        <v/>
      </c>
      <c r="H8" s="44" t="str">
        <f t="shared" ref="H8:H13" si="3">IF(ISTEXT(G8),"",G8+D8)</f>
        <v/>
      </c>
      <c r="I8" s="44">
        <f t="shared" ref="I8:I13" ca="1" si="4">IF(ISTEXT(E8),G8-C8,E8-C8)</f>
        <v>0</v>
      </c>
    </row>
    <row r="9" spans="2:9" ht="22.5" x14ac:dyDescent="0.3">
      <c r="B9" s="43">
        <v>3</v>
      </c>
      <c r="C9" s="44">
        <f t="shared" ca="1" si="0"/>
        <v>0.38449054463319665</v>
      </c>
      <c r="D9" s="44">
        <f t="shared" ca="1" si="1"/>
        <v>1.4880742818585454E-2</v>
      </c>
      <c r="E9" s="44" t="str">
        <f ca="1">IF(MAX(F$7:F8)&lt;=MAX(H$7:H8),MAX(F$7:F8,C9),"")</f>
        <v/>
      </c>
      <c r="F9" s="44" t="str">
        <f t="shared" ca="1" si="2"/>
        <v/>
      </c>
      <c r="G9" s="44">
        <f ca="1">IF(MAX(F$7:F8)&gt;MAX(H$7:H8),MAX(H$7:H8,C9),"")</f>
        <v>0.38449054463319665</v>
      </c>
      <c r="H9" s="44">
        <f t="shared" ca="1" si="3"/>
        <v>0.39937128745178213</v>
      </c>
      <c r="I9" s="44">
        <f t="shared" ca="1" si="4"/>
        <v>0</v>
      </c>
    </row>
    <row r="10" spans="2:9" ht="22.5" x14ac:dyDescent="0.3">
      <c r="B10" s="43">
        <v>4</v>
      </c>
      <c r="C10" s="44">
        <f t="shared" ca="1" si="0"/>
        <v>0.386541840699128</v>
      </c>
      <c r="D10" s="44">
        <f t="shared" ca="1" si="1"/>
        <v>6.9031471779592126E-4</v>
      </c>
      <c r="E10" s="44">
        <f ca="1">IF(MAX(F$7:F9)&lt;=MAX(H$7:H9),MAX(F$7:F9,C10),"")</f>
        <v>0.386541840699128</v>
      </c>
      <c r="F10" s="44">
        <f t="shared" ca="1" si="2"/>
        <v>0.38723215541692391</v>
      </c>
      <c r="G10" s="44" t="str">
        <f ca="1">IF(MAX(F$7:F9)&gt;MAX(H$7:H9),MAX(H$7:H9,C10),"")</f>
        <v/>
      </c>
      <c r="H10" s="44" t="str">
        <f t="shared" ca="1" si="3"/>
        <v/>
      </c>
      <c r="I10" s="44">
        <f t="shared" ca="1" si="4"/>
        <v>0</v>
      </c>
    </row>
    <row r="11" spans="2:9" ht="22.5" x14ac:dyDescent="0.3">
      <c r="B11" s="43">
        <v>5</v>
      </c>
      <c r="C11" s="44">
        <f t="shared" ca="1" si="0"/>
        <v>0.38779886353129417</v>
      </c>
      <c r="D11" s="44">
        <f t="shared" ca="1" si="1"/>
        <v>4.3214912614592807E-3</v>
      </c>
      <c r="E11" s="44">
        <f ca="1">IF(MAX(F$7:F10)&lt;=MAX(H$7:H10),MAX(F$7:F10,C11),"")</f>
        <v>0.38779886353129417</v>
      </c>
      <c r="F11" s="44">
        <f t="shared" ca="1" si="2"/>
        <v>0.39212035479275342</v>
      </c>
      <c r="G11" s="44" t="str">
        <f ca="1">IF(MAX(F$7:F10)&gt;MAX(H$7:H10),MAX(H$7:H10,C11),"")</f>
        <v/>
      </c>
      <c r="H11" s="44" t="str">
        <f t="shared" ca="1" si="3"/>
        <v/>
      </c>
      <c r="I11" s="44">
        <f t="shared" ca="1" si="4"/>
        <v>0</v>
      </c>
    </row>
    <row r="12" spans="2:9" ht="22.5" x14ac:dyDescent="0.3">
      <c r="B12" s="43">
        <v>6</v>
      </c>
      <c r="C12" s="44">
        <f t="shared" ca="1" si="0"/>
        <v>0.38885464290791466</v>
      </c>
      <c r="D12" s="44">
        <f t="shared" ca="1" si="1"/>
        <v>8.8902987162372009E-4</v>
      </c>
      <c r="E12" s="44">
        <f ca="1">IF(MAX(F$7:F11)&lt;=MAX(H$7:H11),MAX(F$7:F11,C12),"")</f>
        <v>0.39212035479275342</v>
      </c>
      <c r="F12" s="44">
        <f t="shared" ca="1" si="2"/>
        <v>0.39300938466437713</v>
      </c>
      <c r="G12" s="44" t="str">
        <f ca="1">IF(MAX(F$7:F11)&gt;MAX(H$7:H11),MAX(H$7:H11,C12),"")</f>
        <v/>
      </c>
      <c r="H12" s="44" t="str">
        <f t="shared" ca="1" si="3"/>
        <v/>
      </c>
      <c r="I12" s="44">
        <f t="shared" ca="1" si="4"/>
        <v>3.2657118848387623E-3</v>
      </c>
    </row>
    <row r="13" spans="2:9" ht="23.25" thickBot="1" x14ac:dyDescent="0.35">
      <c r="B13" s="45">
        <v>7</v>
      </c>
      <c r="C13" s="46">
        <f t="shared" ca="1" si="0"/>
        <v>0.39228599388010715</v>
      </c>
      <c r="D13" s="46">
        <f t="shared" ca="1" si="1"/>
        <v>1.403067703843237E-3</v>
      </c>
      <c r="E13" s="46">
        <f ca="1">IF(MAX(F$7:F12)&lt;=MAX(H$7:H12),MAX(F$7:F12,C13),"")</f>
        <v>0.39300938466437713</v>
      </c>
      <c r="F13" s="46">
        <f t="shared" ca="1" si="2"/>
        <v>0.39441245236822037</v>
      </c>
      <c r="G13" s="46" t="str">
        <f ca="1">IF(MAX(F$7:F12)&gt;MAX(H$7:H12),MAX(H$7:H12,C13),"")</f>
        <v/>
      </c>
      <c r="H13" s="46" t="str">
        <f t="shared" ca="1" si="3"/>
        <v/>
      </c>
      <c r="I13" s="46">
        <f t="shared" ca="1" si="4"/>
        <v>7.2339078426997272E-4</v>
      </c>
    </row>
  </sheetData>
  <mergeCells count="6">
    <mergeCell ref="I5:I6"/>
    <mergeCell ref="B5:B6"/>
    <mergeCell ref="C5:C6"/>
    <mergeCell ref="D5:D6"/>
    <mergeCell ref="E5:F5"/>
    <mergeCell ref="G5:H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6"/>
  <sheetViews>
    <sheetView workbookViewId="0">
      <selection activeCell="H9" sqref="H9"/>
    </sheetView>
  </sheetViews>
  <sheetFormatPr defaultRowHeight="20.25" x14ac:dyDescent="0.3"/>
  <cols>
    <col min="1" max="1" width="9.140625" style="33"/>
    <col min="2" max="2" width="11.5703125" style="33" customWidth="1"/>
    <col min="3" max="3" width="25.42578125" style="33" customWidth="1"/>
    <col min="4" max="4" width="15.5703125" style="33" customWidth="1"/>
    <col min="5" max="5" width="19" style="33" customWidth="1"/>
    <col min="6" max="6" width="12.5703125" style="33" customWidth="1"/>
    <col min="7" max="7" width="12.28515625" style="33" customWidth="1"/>
    <col min="8" max="8" width="13" style="33" customWidth="1"/>
    <col min="9" max="10" width="9.140625" style="33"/>
    <col min="11" max="11" width="16.42578125" style="33" customWidth="1"/>
    <col min="12" max="16384" width="9.140625" style="33"/>
  </cols>
  <sheetData>
    <row r="1" spans="2:13" ht="21" thickBot="1" x14ac:dyDescent="0.35"/>
    <row r="2" spans="2:13" ht="24" thickBot="1" x14ac:dyDescent="0.45">
      <c r="B2" s="48" t="s">
        <v>35</v>
      </c>
      <c r="C2" s="47"/>
      <c r="D2" s="47"/>
      <c r="E2" s="47"/>
      <c r="F2" s="47">
        <v>8</v>
      </c>
      <c r="G2" s="49" t="s">
        <v>8</v>
      </c>
    </row>
    <row r="3" spans="2:13" ht="24" thickBot="1" x14ac:dyDescent="0.45">
      <c r="B3" s="48" t="s">
        <v>36</v>
      </c>
      <c r="C3" s="47"/>
      <c r="D3" s="47"/>
      <c r="E3" s="47"/>
      <c r="F3" s="47">
        <v>7</v>
      </c>
      <c r="G3" s="49" t="s">
        <v>8</v>
      </c>
      <c r="I3" s="70"/>
    </row>
    <row r="4" spans="2:13" ht="21" thickBot="1" x14ac:dyDescent="0.35">
      <c r="B4" s="48" t="s">
        <v>37</v>
      </c>
      <c r="C4" s="47"/>
      <c r="D4" s="47"/>
      <c r="E4" s="47"/>
      <c r="F4" s="50">
        <v>6.9444444444444447E-4</v>
      </c>
      <c r="G4" s="49"/>
    </row>
    <row r="5" spans="2:13" ht="21" thickBot="1" x14ac:dyDescent="0.35"/>
    <row r="6" spans="2:13" s="52" customFormat="1" x14ac:dyDescent="0.3">
      <c r="B6" s="139" t="s">
        <v>25</v>
      </c>
      <c r="C6" s="141" t="s">
        <v>38</v>
      </c>
      <c r="D6" s="141" t="s">
        <v>39</v>
      </c>
      <c r="E6" s="141" t="s">
        <v>40</v>
      </c>
      <c r="F6" s="144" t="s">
        <v>41</v>
      </c>
      <c r="G6" s="145"/>
      <c r="H6" s="150" t="s">
        <v>43</v>
      </c>
      <c r="I6" s="51"/>
      <c r="K6" s="146"/>
      <c r="L6" s="146"/>
      <c r="M6" s="146"/>
    </row>
    <row r="7" spans="2:13" s="52" customFormat="1" ht="40.5" x14ac:dyDescent="0.3">
      <c r="B7" s="140"/>
      <c r="C7" s="142"/>
      <c r="D7" s="142"/>
      <c r="E7" s="143"/>
      <c r="F7" s="53" t="s">
        <v>42</v>
      </c>
      <c r="G7" s="53" t="s">
        <v>31</v>
      </c>
      <c r="H7" s="151"/>
      <c r="I7" s="51"/>
      <c r="K7" s="148"/>
      <c r="L7" s="148"/>
      <c r="M7" s="147"/>
    </row>
    <row r="8" spans="2:13" x14ac:dyDescent="0.3">
      <c r="B8" s="55"/>
      <c r="C8" s="59">
        <v>0.375</v>
      </c>
      <c r="D8" s="54"/>
      <c r="E8" s="63"/>
      <c r="F8" s="54"/>
      <c r="G8" s="54"/>
      <c r="H8" s="65"/>
      <c r="K8" s="149"/>
      <c r="L8" s="149"/>
      <c r="M8" s="149"/>
    </row>
    <row r="9" spans="2:13" x14ac:dyDescent="0.3">
      <c r="B9" s="55">
        <v>1</v>
      </c>
      <c r="C9" s="60">
        <f t="shared" ref="C9:C15" ca="1" si="0">C8+(-$F$2*LN(RAND()))/1440</f>
        <v>0.37559662726859794</v>
      </c>
      <c r="D9" s="62" t="str">
        <f ca="1">IF((MAX(G$8:G8)-C9)&gt;$F$4,"Нет","Да")</f>
        <v>Да</v>
      </c>
      <c r="E9" s="60">
        <f ca="1">IF(D9="Нет","",-$F$3*LN(RAND())/1440)</f>
        <v>6.0851258699716982E-3</v>
      </c>
      <c r="F9" s="64">
        <f ca="1">IF(D9= "Да",MAX(C9,G$8:G8), "")</f>
        <v>0.37559662726859794</v>
      </c>
      <c r="G9" s="57">
        <f ca="1">IF(ISTEXT(F9),"",F9+E9)</f>
        <v>0.38168175313856961</v>
      </c>
      <c r="H9" s="65">
        <f ca="1">IF(ISTEXT(G9),MAX(G$8:G8,C9)-C9,F9-C9)</f>
        <v>0</v>
      </c>
      <c r="K9" s="70"/>
      <c r="L9" s="70"/>
      <c r="M9" s="71"/>
    </row>
    <row r="10" spans="2:13" x14ac:dyDescent="0.3">
      <c r="B10" s="55">
        <v>2</v>
      </c>
      <c r="C10" s="60">
        <f t="shared" ca="1" si="0"/>
        <v>0.38985398239630903</v>
      </c>
      <c r="D10" s="62" t="str">
        <f ca="1">IF((MAX(G$8:G9)-C10)&gt;$F$4,"Нет","Да")</f>
        <v>Да</v>
      </c>
      <c r="E10" s="60">
        <f t="shared" ref="E10:E15" ca="1" si="1">IF(D10="Нет","",-$F$3*LN(RAND())/1440)</f>
        <v>3.9061658285949937E-4</v>
      </c>
      <c r="F10" s="64">
        <f ca="1">IF(D10= "Да",MAX(C10,G$8:G9), "")</f>
        <v>0.38985398239630903</v>
      </c>
      <c r="G10" s="57">
        <f t="shared" ref="G10:G15" ca="1" si="2">IF(ISTEXT(F10),"",F10+E10)</f>
        <v>0.39024459897916852</v>
      </c>
      <c r="H10" s="65">
        <f ca="1">IF(ISTEXT(G10),MAX(G$8:G9,C10)-C10,F10-C10)</f>
        <v>0</v>
      </c>
      <c r="K10" s="70"/>
      <c r="L10" s="70"/>
      <c r="M10" s="71"/>
    </row>
    <row r="11" spans="2:13" x14ac:dyDescent="0.3">
      <c r="B11" s="55">
        <v>3</v>
      </c>
      <c r="C11" s="60">
        <f t="shared" ca="1" si="0"/>
        <v>0.39169782401951758</v>
      </c>
      <c r="D11" s="62" t="str">
        <f ca="1">IF((MAX(G$8:G10)-C11)&gt;$F$4,"Нет","Да")</f>
        <v>Да</v>
      </c>
      <c r="E11" s="60">
        <f t="shared" ca="1" si="1"/>
        <v>6.7793682895847247E-4</v>
      </c>
      <c r="F11" s="64">
        <f ca="1">IF(D11= "Да",MAX(C11,G$8:G10), "")</f>
        <v>0.39169782401951758</v>
      </c>
      <c r="G11" s="57">
        <f t="shared" ca="1" si="2"/>
        <v>0.39237576084847603</v>
      </c>
      <c r="H11" s="65">
        <f ca="1">IF(ISTEXT(G11),MAX(G$8:G10,C11)-C11,F11-C11)</f>
        <v>0</v>
      </c>
      <c r="K11" s="70"/>
      <c r="L11" s="70"/>
      <c r="M11" s="71"/>
    </row>
    <row r="12" spans="2:13" x14ac:dyDescent="0.3">
      <c r="B12" s="55">
        <v>4</v>
      </c>
      <c r="C12" s="60">
        <f t="shared" ca="1" si="0"/>
        <v>0.39306787856974434</v>
      </c>
      <c r="D12" s="62" t="str">
        <f ca="1">IF((MAX(G$8:G11)-C12)&gt;$F$4,"Нет","Да")</f>
        <v>Да</v>
      </c>
      <c r="E12" s="60">
        <f t="shared" ca="1" si="1"/>
        <v>1.3243765010449899E-4</v>
      </c>
      <c r="F12" s="64">
        <f ca="1">IF(D12= "Да",MAX(C12,G$8:G11), "")</f>
        <v>0.39306787856974434</v>
      </c>
      <c r="G12" s="57">
        <f t="shared" ca="1" si="2"/>
        <v>0.39320031621984886</v>
      </c>
      <c r="H12" s="65">
        <f ca="1">IF(ISTEXT(G12),MAX(G$8:G11,C12)-C12,F12-C12)</f>
        <v>0</v>
      </c>
      <c r="K12" s="70"/>
      <c r="L12" s="70"/>
      <c r="M12" s="71"/>
    </row>
    <row r="13" spans="2:13" x14ac:dyDescent="0.3">
      <c r="B13" s="55">
        <v>5</v>
      </c>
      <c r="C13" s="60">
        <f t="shared" ca="1" si="0"/>
        <v>0.40364931930384185</v>
      </c>
      <c r="D13" s="62" t="str">
        <f ca="1">IF((MAX(G$8:G12)-C13)&gt;$F$4,"Нет","Да")</f>
        <v>Да</v>
      </c>
      <c r="E13" s="60">
        <f t="shared" ca="1" si="1"/>
        <v>4.6838637766516431E-3</v>
      </c>
      <c r="F13" s="64">
        <f ca="1">IF(D13= "Да",MAX(C13,G$8:G12), "")</f>
        <v>0.40364931930384185</v>
      </c>
      <c r="G13" s="57">
        <f t="shared" ca="1" si="2"/>
        <v>0.40833318308049349</v>
      </c>
      <c r="H13" s="65">
        <f ca="1">IF(ISTEXT(G13),MAX(G$8:G12,C13)-C13,F13-C13)</f>
        <v>0</v>
      </c>
      <c r="K13" s="70"/>
      <c r="L13" s="70"/>
      <c r="M13" s="71"/>
    </row>
    <row r="14" spans="2:13" x14ac:dyDescent="0.3">
      <c r="B14" s="55">
        <v>6</v>
      </c>
      <c r="C14" s="60">
        <f t="shared" ca="1" si="0"/>
        <v>0.40649072422115434</v>
      </c>
      <c r="D14" s="62" t="str">
        <f ca="1">IF((MAX(G$8:G13)-C14)&gt;$F$4,"Нет","Да")</f>
        <v>Нет</v>
      </c>
      <c r="E14" s="60" t="str">
        <f t="shared" ca="1" si="1"/>
        <v/>
      </c>
      <c r="F14" s="64" t="str">
        <f ca="1">IF(D14= "Да",MAX(C14,G$8:G13), "")</f>
        <v/>
      </c>
      <c r="G14" s="57" t="str">
        <f t="shared" ca="1" si="2"/>
        <v/>
      </c>
      <c r="H14" s="65">
        <f ca="1">IF(ISTEXT(G14),MAX(G$8:G13,C14)-C14,F14-C14)</f>
        <v>1.8424588593391467E-3</v>
      </c>
      <c r="K14" s="70"/>
      <c r="L14" s="70"/>
      <c r="M14" s="71"/>
    </row>
    <row r="15" spans="2:13" ht="21" thickBot="1" x14ac:dyDescent="0.35">
      <c r="B15" s="56">
        <v>7</v>
      </c>
      <c r="C15" s="61">
        <f t="shared" ca="1" si="0"/>
        <v>0.41105870027887681</v>
      </c>
      <c r="D15" s="67" t="str">
        <f ca="1">IF((MAX(G$8:G14)-C15)&gt;$F$4,"Нет","Да")</f>
        <v>Да</v>
      </c>
      <c r="E15" s="61">
        <f t="shared" ca="1" si="1"/>
        <v>4.5304759473710722E-3</v>
      </c>
      <c r="F15" s="68">
        <f ca="1">IF(D15= "Да",MAX(C15,G$8:G14), "")</f>
        <v>0.41105870027887681</v>
      </c>
      <c r="G15" s="58">
        <f t="shared" ca="1" si="2"/>
        <v>0.41558917622624786</v>
      </c>
      <c r="H15" s="69">
        <f ca="1">IF(ISTEXT(G15),MAX(G$8:G14,C15)-C15,F15-C15)</f>
        <v>0</v>
      </c>
      <c r="K15" s="70"/>
      <c r="L15" s="70"/>
      <c r="M15" s="71"/>
    </row>
    <row r="17" spans="8:9" x14ac:dyDescent="0.3">
      <c r="H17" s="146"/>
      <c r="I17" s="146"/>
    </row>
    <row r="18" spans="8:9" x14ac:dyDescent="0.3">
      <c r="H18" s="147"/>
      <c r="I18" s="147"/>
    </row>
    <row r="19" spans="8:9" x14ac:dyDescent="0.3">
      <c r="H19" s="70"/>
      <c r="I19" s="66"/>
    </row>
    <row r="20" spans="8:9" x14ac:dyDescent="0.3">
      <c r="H20" s="70"/>
      <c r="I20" s="66"/>
    </row>
    <row r="21" spans="8:9" x14ac:dyDescent="0.3">
      <c r="H21" s="70"/>
      <c r="I21" s="66"/>
    </row>
    <row r="22" spans="8:9" x14ac:dyDescent="0.3">
      <c r="H22" s="70"/>
      <c r="I22" s="66"/>
    </row>
    <row r="23" spans="8:9" x14ac:dyDescent="0.3">
      <c r="H23" s="70"/>
      <c r="I23" s="66"/>
    </row>
    <row r="24" spans="8:9" x14ac:dyDescent="0.3">
      <c r="H24" s="70"/>
      <c r="I24" s="66"/>
    </row>
    <row r="25" spans="8:9" x14ac:dyDescent="0.3">
      <c r="H25" s="70"/>
      <c r="I25" s="66"/>
    </row>
    <row r="26" spans="8:9" x14ac:dyDescent="0.3">
      <c r="H26" s="70"/>
      <c r="I26" s="66"/>
    </row>
  </sheetData>
  <mergeCells count="11">
    <mergeCell ref="H17:H18"/>
    <mergeCell ref="I17:I18"/>
    <mergeCell ref="K6:K8"/>
    <mergeCell ref="L6:L8"/>
    <mergeCell ref="M6:M8"/>
    <mergeCell ref="H6:H7"/>
    <mergeCell ref="B6:B7"/>
    <mergeCell ref="C6:C7"/>
    <mergeCell ref="D6:D7"/>
    <mergeCell ref="E6:E7"/>
    <mergeCell ref="F6:G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6"/>
  <sheetViews>
    <sheetView workbookViewId="0">
      <selection activeCell="C10" sqref="C10"/>
    </sheetView>
  </sheetViews>
  <sheetFormatPr defaultRowHeight="20.25" x14ac:dyDescent="0.3"/>
  <cols>
    <col min="1" max="1" width="9.140625" style="33"/>
    <col min="2" max="2" width="11.5703125" style="33" customWidth="1"/>
    <col min="3" max="3" width="21.28515625" style="33" customWidth="1"/>
    <col min="4" max="4" width="15" style="33" customWidth="1"/>
    <col min="5" max="5" width="15.5703125" style="33" customWidth="1"/>
    <col min="6" max="6" width="19" style="33" customWidth="1"/>
    <col min="7" max="7" width="12.5703125" style="33" customWidth="1"/>
    <col min="8" max="8" width="12.28515625" style="33" customWidth="1"/>
    <col min="9" max="9" width="13" style="33" customWidth="1"/>
    <col min="10" max="11" width="9.140625" style="33"/>
    <col min="12" max="12" width="16.42578125" style="33" customWidth="1"/>
    <col min="13" max="16384" width="9.140625" style="33"/>
  </cols>
  <sheetData>
    <row r="1" spans="2:14" ht="21" thickBot="1" x14ac:dyDescent="0.35"/>
    <row r="2" spans="2:14" ht="24" thickBot="1" x14ac:dyDescent="0.45">
      <c r="B2" s="48" t="s">
        <v>35</v>
      </c>
      <c r="C2" s="47"/>
      <c r="D2" s="47"/>
      <c r="E2" s="47"/>
      <c r="F2" s="47">
        <v>8</v>
      </c>
      <c r="G2" s="49" t="s">
        <v>8</v>
      </c>
    </row>
    <row r="3" spans="2:14" ht="24" thickBot="1" x14ac:dyDescent="0.45">
      <c r="B3" s="48" t="s">
        <v>36</v>
      </c>
      <c r="C3" s="47"/>
      <c r="D3" s="47"/>
      <c r="E3" s="47"/>
      <c r="F3" s="47">
        <v>7</v>
      </c>
      <c r="G3" s="49" t="s">
        <v>8</v>
      </c>
      <c r="J3" s="70"/>
    </row>
    <row r="4" spans="2:14" ht="21" thickBot="1" x14ac:dyDescent="0.35">
      <c r="B4" s="48" t="s">
        <v>44</v>
      </c>
      <c r="C4" s="47"/>
      <c r="D4" s="47"/>
      <c r="E4" s="47"/>
      <c r="F4" s="72">
        <v>1</v>
      </c>
      <c r="G4" s="49"/>
    </row>
    <row r="5" spans="2:14" ht="21" thickBot="1" x14ac:dyDescent="0.35"/>
    <row r="6" spans="2:14" s="52" customFormat="1" x14ac:dyDescent="0.3">
      <c r="B6" s="139" t="s">
        <v>25</v>
      </c>
      <c r="C6" s="141" t="s">
        <v>38</v>
      </c>
      <c r="D6" s="152" t="s">
        <v>45</v>
      </c>
      <c r="E6" s="141" t="s">
        <v>39</v>
      </c>
      <c r="F6" s="141" t="s">
        <v>40</v>
      </c>
      <c r="G6" s="144" t="s">
        <v>41</v>
      </c>
      <c r="H6" s="145"/>
      <c r="I6" s="150" t="s">
        <v>43</v>
      </c>
      <c r="J6" s="51"/>
      <c r="L6" s="146"/>
      <c r="M6" s="146"/>
      <c r="N6" s="146"/>
    </row>
    <row r="7" spans="2:14" s="52" customFormat="1" ht="40.5" x14ac:dyDescent="0.3">
      <c r="B7" s="140"/>
      <c r="C7" s="142"/>
      <c r="D7" s="153"/>
      <c r="E7" s="142"/>
      <c r="F7" s="143"/>
      <c r="G7" s="53" t="s">
        <v>42</v>
      </c>
      <c r="H7" s="53" t="s">
        <v>31</v>
      </c>
      <c r="I7" s="151"/>
      <c r="J7" s="51"/>
      <c r="L7" s="148"/>
      <c r="M7" s="148"/>
      <c r="N7" s="147"/>
    </row>
    <row r="8" spans="2:14" x14ac:dyDescent="0.3">
      <c r="B8" s="55"/>
      <c r="C8" s="59">
        <v>0.375</v>
      </c>
      <c r="D8" s="73"/>
      <c r="E8" s="54"/>
      <c r="F8" s="63"/>
      <c r="G8" s="54"/>
      <c r="H8" s="54"/>
      <c r="I8" s="65"/>
      <c r="L8" s="149"/>
      <c r="M8" s="149"/>
      <c r="N8" s="149"/>
    </row>
    <row r="9" spans="2:14" x14ac:dyDescent="0.3">
      <c r="B9" s="55">
        <v>1</v>
      </c>
      <c r="C9" s="60">
        <f ca="1">C8+(-$F$2*LN(RAND()))/1440</f>
        <v>0.38906479339576194</v>
      </c>
      <c r="D9" s="74">
        <f ca="1">COUNTIF($G$8:G8,"&gt;"&amp;C9)</f>
        <v>0</v>
      </c>
      <c r="E9" s="62" t="str">
        <f ca="1">IF(D9&gt;$F$4,"Нет","Да")</f>
        <v>Да</v>
      </c>
      <c r="F9" s="60">
        <f ca="1">IF(E9="Нет","",-$F$3*LN(RAND())/1440)</f>
        <v>5.9614481726111834E-3</v>
      </c>
      <c r="G9" s="64">
        <f ca="1">IF(E9="Да",MAX(C9,H$7:H8),"")</f>
        <v>0.38906479339576194</v>
      </c>
      <c r="H9" s="57">
        <f ca="1">IF(ISTEXT(G9),"",G9+F9)</f>
        <v>0.39502624156837313</v>
      </c>
      <c r="I9" s="65">
        <f ca="1">IF(ISTEXT(H9),MAX(H$8:H8,C9)-C9,G9-C9)</f>
        <v>0</v>
      </c>
      <c r="L9" s="70"/>
      <c r="M9" s="70"/>
      <c r="N9" s="71"/>
    </row>
    <row r="10" spans="2:14" x14ac:dyDescent="0.3">
      <c r="B10" s="55">
        <v>2</v>
      </c>
      <c r="C10" s="60">
        <f t="shared" ref="C10:C15" ca="1" si="0">C9+(-$F$2*LN(RAND()))/1440</f>
        <v>0.3908863663798342</v>
      </c>
      <c r="D10" s="74">
        <f ca="1">COUNTIF($G$8:G9,"&gt;"&amp;C10)</f>
        <v>0</v>
      </c>
      <c r="E10" s="62" t="str">
        <f t="shared" ref="E10:E15" ca="1" si="1">IF(D10&gt;$F$4,"Нет","Да")</f>
        <v>Да</v>
      </c>
      <c r="F10" s="60">
        <f t="shared" ref="F10:F15" ca="1" si="2">IF(E10="Нет","",-$F$3*LN(RAND())/1440)</f>
        <v>3.6625884379650514E-3</v>
      </c>
      <c r="G10" s="64">
        <f ca="1">IF(E10="Да",MAX(C10,H$7:H9),"")</f>
        <v>0.39502624156837313</v>
      </c>
      <c r="H10" s="57">
        <f t="shared" ref="H10:H15" ca="1" si="3">IF(ISTEXT(G10),"",G10+F10)</f>
        <v>0.3986888300063382</v>
      </c>
      <c r="I10" s="65">
        <f ca="1">IF(ISTEXT(H10),MAX(H$8:H9,C10)-C10,G10-C10)</f>
        <v>4.1398751885389218E-3</v>
      </c>
      <c r="L10" s="70"/>
      <c r="M10" s="70"/>
      <c r="N10" s="71"/>
    </row>
    <row r="11" spans="2:14" x14ac:dyDescent="0.3">
      <c r="B11" s="55">
        <v>3</v>
      </c>
      <c r="C11" s="60">
        <f t="shared" ca="1" si="0"/>
        <v>0.39225929633028805</v>
      </c>
      <c r="D11" s="74">
        <f ca="1">COUNTIF($G$8:G10,"&gt;"&amp;C11)</f>
        <v>1</v>
      </c>
      <c r="E11" s="62" t="str">
        <f t="shared" ca="1" si="1"/>
        <v>Да</v>
      </c>
      <c r="F11" s="60">
        <f t="shared" ca="1" si="2"/>
        <v>3.8164031931830402E-3</v>
      </c>
      <c r="G11" s="64">
        <f ca="1">IF(E11="Да",MAX(C11,H$7:H10),"")</f>
        <v>0.3986888300063382</v>
      </c>
      <c r="H11" s="57">
        <f t="shared" ca="1" si="3"/>
        <v>0.40250523319952125</v>
      </c>
      <c r="I11" s="65">
        <f ca="1">IF(ISTEXT(H11),MAX(H$8:H10,C11)-C11,G11-C11)</f>
        <v>6.4295336760501476E-3</v>
      </c>
      <c r="L11" s="70"/>
      <c r="M11" s="70"/>
      <c r="N11" s="71"/>
    </row>
    <row r="12" spans="2:14" x14ac:dyDescent="0.3">
      <c r="B12" s="55">
        <v>4</v>
      </c>
      <c r="C12" s="60">
        <f t="shared" ca="1" si="0"/>
        <v>0.39468688440938804</v>
      </c>
      <c r="D12" s="74">
        <f ca="1">COUNTIF($G$8:G11,"&gt;"&amp;C12)</f>
        <v>2</v>
      </c>
      <c r="E12" s="62" t="str">
        <f t="shared" ca="1" si="1"/>
        <v>Нет</v>
      </c>
      <c r="F12" s="60" t="str">
        <f t="shared" ca="1" si="2"/>
        <v/>
      </c>
      <c r="G12" s="64" t="str">
        <f ca="1">IF(E12="Да",MAX(C12,H$7:H11),"")</f>
        <v/>
      </c>
      <c r="H12" s="57" t="str">
        <f t="shared" ca="1" si="3"/>
        <v/>
      </c>
      <c r="I12" s="65">
        <f ca="1">IF(ISTEXT(H12),MAX(H$8:H11,C12)-C12,G12-C12)</f>
        <v>7.8183487901332116E-3</v>
      </c>
      <c r="L12" s="70"/>
      <c r="M12" s="70"/>
      <c r="N12" s="71"/>
    </row>
    <row r="13" spans="2:14" x14ac:dyDescent="0.3">
      <c r="B13" s="55">
        <v>5</v>
      </c>
      <c r="C13" s="60">
        <f t="shared" ca="1" si="0"/>
        <v>0.40373332135794088</v>
      </c>
      <c r="D13" s="74">
        <f ca="1">COUNTIF($G$8:G12,"&gt;"&amp;C13)</f>
        <v>0</v>
      </c>
      <c r="E13" s="62" t="str">
        <f t="shared" ca="1" si="1"/>
        <v>Да</v>
      </c>
      <c r="F13" s="60">
        <f t="shared" ca="1" si="2"/>
        <v>1.573363559735736E-3</v>
      </c>
      <c r="G13" s="64">
        <f ca="1">IF(E13="Да",MAX(C13,H$7:H12),"")</f>
        <v>0.40373332135794088</v>
      </c>
      <c r="H13" s="57">
        <f t="shared" ca="1" si="3"/>
        <v>0.40530668491767663</v>
      </c>
      <c r="I13" s="65">
        <f ca="1">IF(ISTEXT(H13),MAX(H$8:H12,C13)-C13,G13-C13)</f>
        <v>0</v>
      </c>
      <c r="L13" s="70"/>
      <c r="M13" s="70"/>
      <c r="N13" s="71"/>
    </row>
    <row r="14" spans="2:14" x14ac:dyDescent="0.3">
      <c r="B14" s="55">
        <v>6</v>
      </c>
      <c r="C14" s="60">
        <f t="shared" ca="1" si="0"/>
        <v>0.40414990388082356</v>
      </c>
      <c r="D14" s="74">
        <f ca="1">COUNTIF($G$8:G13,"&gt;"&amp;C14)</f>
        <v>0</v>
      </c>
      <c r="E14" s="62" t="str">
        <f t="shared" ca="1" si="1"/>
        <v>Да</v>
      </c>
      <c r="F14" s="60">
        <f t="shared" ca="1" si="2"/>
        <v>2.9583530663581602E-3</v>
      </c>
      <c r="G14" s="64">
        <f ca="1">IF(E14="Да",MAX(C14,H$7:H13),"")</f>
        <v>0.40530668491767663</v>
      </c>
      <c r="H14" s="57">
        <f t="shared" ca="1" si="3"/>
        <v>0.4082650379840348</v>
      </c>
      <c r="I14" s="65">
        <f ca="1">IF(ISTEXT(H14),MAX(H$8:H13,C14)-C14,G14-C14)</f>
        <v>1.1567810368530718E-3</v>
      </c>
      <c r="L14" s="70"/>
      <c r="M14" s="70"/>
      <c r="N14" s="71"/>
    </row>
    <row r="15" spans="2:14" ht="21" thickBot="1" x14ac:dyDescent="0.35">
      <c r="B15" s="56">
        <v>7</v>
      </c>
      <c r="C15" s="61">
        <f t="shared" ca="1" si="0"/>
        <v>0.4069722296126172</v>
      </c>
      <c r="D15" s="75">
        <f ca="1">COUNTIF($G$8:G14,"&gt;"&amp;C15)</f>
        <v>0</v>
      </c>
      <c r="E15" s="67" t="str">
        <f t="shared" ca="1" si="1"/>
        <v>Да</v>
      </c>
      <c r="F15" s="61">
        <f t="shared" ca="1" si="2"/>
        <v>1.7364391759131258E-2</v>
      </c>
      <c r="G15" s="68">
        <f ca="1">IF(E15="Да",MAX(C15,H$7:H14),"")</f>
        <v>0.4082650379840348</v>
      </c>
      <c r="H15" s="58">
        <f t="shared" ca="1" si="3"/>
        <v>0.42562942974316603</v>
      </c>
      <c r="I15" s="69">
        <f ca="1">IF(ISTEXT(H15),MAX(H$8:H14,C15)-C15,G15-C15)</f>
        <v>1.2928083714175975E-3</v>
      </c>
      <c r="L15" s="70"/>
      <c r="M15" s="70"/>
      <c r="N15" s="71"/>
    </row>
    <row r="17" spans="9:10" x14ac:dyDescent="0.3">
      <c r="I17" s="146"/>
      <c r="J17" s="146"/>
    </row>
    <row r="18" spans="9:10" x14ac:dyDescent="0.3">
      <c r="I18" s="147"/>
      <c r="J18" s="147"/>
    </row>
    <row r="19" spans="9:10" x14ac:dyDescent="0.3">
      <c r="I19" s="70"/>
      <c r="J19" s="66"/>
    </row>
    <row r="20" spans="9:10" x14ac:dyDescent="0.3">
      <c r="I20" s="70"/>
      <c r="J20" s="66"/>
    </row>
    <row r="21" spans="9:10" x14ac:dyDescent="0.3">
      <c r="I21" s="70"/>
      <c r="J21" s="66"/>
    </row>
    <row r="22" spans="9:10" x14ac:dyDescent="0.3">
      <c r="I22" s="70"/>
      <c r="J22" s="66"/>
    </row>
    <row r="23" spans="9:10" x14ac:dyDescent="0.3">
      <c r="I23" s="70"/>
      <c r="J23" s="66"/>
    </row>
    <row r="24" spans="9:10" x14ac:dyDescent="0.3">
      <c r="I24" s="70"/>
      <c r="J24" s="66"/>
    </row>
    <row r="25" spans="9:10" x14ac:dyDescent="0.3">
      <c r="I25" s="70"/>
      <c r="J25" s="66"/>
    </row>
    <row r="26" spans="9:10" x14ac:dyDescent="0.3">
      <c r="I26" s="70"/>
      <c r="J26" s="66"/>
    </row>
  </sheetData>
  <mergeCells count="12">
    <mergeCell ref="G6:H6"/>
    <mergeCell ref="I6:I7"/>
    <mergeCell ref="D6:D7"/>
    <mergeCell ref="B6:B7"/>
    <mergeCell ref="C6:C7"/>
    <mergeCell ref="E6:E7"/>
    <mergeCell ref="F6:F7"/>
    <mergeCell ref="L6:L8"/>
    <mergeCell ref="M6:M8"/>
    <mergeCell ref="N6:N8"/>
    <mergeCell ref="I17:I18"/>
    <mergeCell ref="J17:J1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"/>
  <sheetViews>
    <sheetView workbookViewId="0">
      <selection activeCell="L20" sqref="L20"/>
    </sheetView>
  </sheetViews>
  <sheetFormatPr defaultRowHeight="20.25" x14ac:dyDescent="0.3"/>
  <cols>
    <col min="1" max="1" width="9.140625" style="33"/>
    <col min="2" max="2" width="11.5703125" style="33" customWidth="1"/>
    <col min="3" max="3" width="21.28515625" style="33" customWidth="1"/>
    <col min="4" max="5" width="19" style="33" customWidth="1"/>
    <col min="6" max="6" width="12.5703125" style="33" customWidth="1"/>
    <col min="7" max="7" width="12.28515625" style="33" customWidth="1"/>
    <col min="8" max="8" width="13" style="33" customWidth="1"/>
    <col min="9" max="12" width="9.140625" style="33"/>
    <col min="13" max="13" width="13.7109375" style="33" customWidth="1"/>
    <col min="14" max="14" width="11.140625" style="33" bestFit="1" customWidth="1"/>
    <col min="15" max="16384" width="9.140625" style="33"/>
  </cols>
  <sheetData>
    <row r="1" spans="2:13" ht="21" thickBot="1" x14ac:dyDescent="0.35"/>
    <row r="2" spans="2:13" ht="24" thickBot="1" x14ac:dyDescent="0.45">
      <c r="B2" s="48" t="s">
        <v>46</v>
      </c>
      <c r="C2" s="47"/>
      <c r="D2" s="47">
        <v>5</v>
      </c>
      <c r="E2" s="49" t="s">
        <v>8</v>
      </c>
    </row>
    <row r="3" spans="2:13" ht="21" thickBot="1" x14ac:dyDescent="0.35">
      <c r="B3" s="48" t="s">
        <v>47</v>
      </c>
      <c r="C3" s="47"/>
      <c r="D3" s="47">
        <v>20</v>
      </c>
      <c r="E3" s="49" t="s">
        <v>8</v>
      </c>
      <c r="I3" s="70"/>
    </row>
    <row r="4" spans="2:13" ht="21" thickBot="1" x14ac:dyDescent="0.35">
      <c r="B4" s="48" t="s">
        <v>48</v>
      </c>
      <c r="C4" s="47"/>
      <c r="D4" s="72">
        <v>25</v>
      </c>
      <c r="E4" s="49"/>
    </row>
    <row r="5" spans="2:13" ht="21" thickBot="1" x14ac:dyDescent="0.35">
      <c r="B5" s="48" t="s">
        <v>49</v>
      </c>
      <c r="C5" s="47"/>
      <c r="D5" s="49">
        <v>3</v>
      </c>
    </row>
    <row r="6" spans="2:13" ht="21" thickBot="1" x14ac:dyDescent="0.35"/>
    <row r="7" spans="2:13" s="52" customFormat="1" ht="20.25" customHeight="1" x14ac:dyDescent="0.3">
      <c r="B7" s="139" t="s">
        <v>25</v>
      </c>
      <c r="C7" s="141" t="s">
        <v>38</v>
      </c>
      <c r="D7" s="141" t="s">
        <v>50</v>
      </c>
      <c r="E7" s="141" t="s">
        <v>40</v>
      </c>
      <c r="F7" s="144" t="s">
        <v>41</v>
      </c>
      <c r="G7" s="145"/>
      <c r="H7" s="150" t="s">
        <v>43</v>
      </c>
      <c r="I7" s="51"/>
      <c r="L7" s="146"/>
      <c r="M7" s="146"/>
    </row>
    <row r="8" spans="2:13" s="52" customFormat="1" ht="40.5" x14ac:dyDescent="0.3">
      <c r="B8" s="140"/>
      <c r="C8" s="142"/>
      <c r="D8" s="142"/>
      <c r="E8" s="143"/>
      <c r="F8" s="53" t="s">
        <v>42</v>
      </c>
      <c r="G8" s="53" t="s">
        <v>31</v>
      </c>
      <c r="H8" s="151"/>
      <c r="I8" s="51"/>
      <c r="L8" s="148"/>
      <c r="M8" s="147"/>
    </row>
    <row r="9" spans="2:13" x14ac:dyDescent="0.3">
      <c r="B9" s="55"/>
      <c r="C9" s="59">
        <v>0.375</v>
      </c>
      <c r="D9" s="54"/>
      <c r="E9" s="63"/>
      <c r="F9" s="54"/>
      <c r="G9" s="54"/>
      <c r="H9" s="65"/>
      <c r="L9" s="149"/>
      <c r="M9" s="149"/>
    </row>
    <row r="10" spans="2:13" x14ac:dyDescent="0.3">
      <c r="B10" s="55">
        <v>1</v>
      </c>
      <c r="C10" s="77">
        <f ca="1">C9+(-$D$2*LN(RAND()))/1440</f>
        <v>0.37735009004650893</v>
      </c>
      <c r="D10" s="76">
        <v>0</v>
      </c>
      <c r="E10" s="60" t="str">
        <f ca="1">IF(D10=$D$5-1,($D$3+RAND()*($D$4-$D$3))/1440,"")</f>
        <v/>
      </c>
      <c r="F10" s="64" t="str">
        <f ca="1">IF(E10="","",MAX(C10,G$9:G9))</f>
        <v/>
      </c>
      <c r="G10" s="78" t="str">
        <f ca="1">IF(ISTEXT(F10),"",F10+E10)</f>
        <v/>
      </c>
      <c r="H10" s="65">
        <f ca="1">IF(ISTEXT(G10),MAX(MIN(F10:F$16),C10)-C10,F10-C10)</f>
        <v>6.6672802337690573E-3</v>
      </c>
      <c r="L10" s="70"/>
      <c r="M10" s="71"/>
    </row>
    <row r="11" spans="2:13" x14ac:dyDescent="0.3">
      <c r="B11" s="55">
        <v>2</v>
      </c>
      <c r="C11" s="77">
        <f t="shared" ref="C11:C16" ca="1" si="0">C10+(-$D$2*LN(RAND()))/1440</f>
        <v>0.37932641382291016</v>
      </c>
      <c r="D11" s="76">
        <f t="shared" ref="D11:D16" si="1">IF(D10=$D$5-1,0,D10+1)</f>
        <v>1</v>
      </c>
      <c r="E11" s="60" t="str">
        <f t="shared" ref="E11:E16" ca="1" si="2">IF(D11=$D$5-1,($D$3+RAND()*($D$4-$D$3))/1440,"")</f>
        <v/>
      </c>
      <c r="F11" s="64" t="str">
        <f ca="1">IF(E11="","",MAX(C11,G$9:G10))</f>
        <v/>
      </c>
      <c r="G11" s="57" t="str">
        <f t="shared" ref="G11:G16" ca="1" si="3">IF(ISTEXT(F11),"",F11+E11)</f>
        <v/>
      </c>
      <c r="H11" s="65">
        <f ca="1">IF(ISTEXT(G11),MAX(MIN(F11:F$16),C11)-C11,F11-C11)</f>
        <v>4.6909564573678342E-3</v>
      </c>
      <c r="L11" s="70"/>
      <c r="M11" s="71"/>
    </row>
    <row r="12" spans="2:13" x14ac:dyDescent="0.3">
      <c r="B12" s="55">
        <v>3</v>
      </c>
      <c r="C12" s="77">
        <f t="shared" ca="1" si="0"/>
        <v>0.38401737028027799</v>
      </c>
      <c r="D12" s="76">
        <f t="shared" si="1"/>
        <v>2</v>
      </c>
      <c r="E12" s="60">
        <f t="shared" ca="1" si="2"/>
        <v>1.6411438859052302E-2</v>
      </c>
      <c r="F12" s="64">
        <f ca="1">IF(E12="","",MAX(C12,G$9:G11))</f>
        <v>0.38401737028027799</v>
      </c>
      <c r="G12" s="57">
        <f t="shared" ca="1" si="3"/>
        <v>0.40042880913933032</v>
      </c>
      <c r="H12" s="65">
        <f ca="1">IF(ISTEXT(G12),MAX(MIN(F12:F$16),C12)-C12,F12-C12)</f>
        <v>0</v>
      </c>
      <c r="L12" s="70"/>
      <c r="M12" s="71"/>
    </row>
    <row r="13" spans="2:13" x14ac:dyDescent="0.3">
      <c r="B13" s="55">
        <v>4</v>
      </c>
      <c r="C13" s="77">
        <f t="shared" ca="1" si="0"/>
        <v>0.38418329671602358</v>
      </c>
      <c r="D13" s="76">
        <f t="shared" si="1"/>
        <v>0</v>
      </c>
      <c r="E13" s="60" t="str">
        <f t="shared" ca="1" si="2"/>
        <v/>
      </c>
      <c r="F13" s="64" t="str">
        <f ca="1">IF(E13="","",MAX(C13,G$9:G12))</f>
        <v/>
      </c>
      <c r="G13" s="57" t="str">
        <f t="shared" ca="1" si="3"/>
        <v/>
      </c>
      <c r="H13" s="65">
        <f ca="1">IF(ISTEXT(G13),MAX(MIN(F13:F$16),C13)-C13,F13-C13)</f>
        <v>1.6245512423306741E-2</v>
      </c>
      <c r="L13" s="70"/>
      <c r="M13" s="71"/>
    </row>
    <row r="14" spans="2:13" x14ac:dyDescent="0.3">
      <c r="B14" s="55">
        <v>5</v>
      </c>
      <c r="C14" s="77">
        <f t="shared" ca="1" si="0"/>
        <v>0.38634808899552742</v>
      </c>
      <c r="D14" s="76">
        <f t="shared" si="1"/>
        <v>1</v>
      </c>
      <c r="E14" s="60" t="str">
        <f t="shared" ca="1" si="2"/>
        <v/>
      </c>
      <c r="F14" s="64" t="str">
        <f ca="1">IF(E14="","",MAX(C14,G$9:G13))</f>
        <v/>
      </c>
      <c r="G14" s="57" t="str">
        <f t="shared" ca="1" si="3"/>
        <v/>
      </c>
      <c r="H14" s="65">
        <f ca="1">IF(ISTEXT(G14),MAX(MIN(F14:F$16),C14)-C14,F14-C14)</f>
        <v>1.4080720143802905E-2</v>
      </c>
      <c r="J14" s="81"/>
      <c r="K14" s="80"/>
      <c r="L14" s="70"/>
      <c r="M14" s="71"/>
    </row>
    <row r="15" spans="2:13" x14ac:dyDescent="0.3">
      <c r="B15" s="55">
        <v>6</v>
      </c>
      <c r="C15" s="77">
        <f t="shared" ca="1" si="0"/>
        <v>0.39407766119592297</v>
      </c>
      <c r="D15" s="76">
        <f t="shared" si="1"/>
        <v>2</v>
      </c>
      <c r="E15" s="60">
        <f t="shared" ca="1" si="2"/>
        <v>1.5295825946549138E-2</v>
      </c>
      <c r="F15" s="64">
        <f ca="1">IF(E15="","",MAX(C15,G$9:G14))</f>
        <v>0.40042880913933032</v>
      </c>
      <c r="G15" s="57">
        <f t="shared" ca="1" si="3"/>
        <v>0.41572463508587948</v>
      </c>
      <c r="H15" s="65">
        <f ca="1">IF(ISTEXT(G15),MAX(MIN(F15:F$16),C15)-C15,F15-C15)</f>
        <v>6.3511479434073537E-3</v>
      </c>
      <c r="J15" s="81"/>
      <c r="K15" s="80"/>
      <c r="L15" s="80"/>
      <c r="M15" s="71"/>
    </row>
    <row r="16" spans="2:13" ht="21" thickBot="1" x14ac:dyDescent="0.35">
      <c r="B16" s="56">
        <v>7</v>
      </c>
      <c r="C16" s="77">
        <f t="shared" ca="1" si="0"/>
        <v>0.40179215356643089</v>
      </c>
      <c r="D16" s="76">
        <f t="shared" si="1"/>
        <v>0</v>
      </c>
      <c r="E16" s="60" t="str">
        <f t="shared" ca="1" si="2"/>
        <v/>
      </c>
      <c r="F16" s="64" t="str">
        <f ca="1">IF(E16="","",MAX(C16,G$9:G15))</f>
        <v/>
      </c>
      <c r="G16" s="57" t="str">
        <f t="shared" ca="1" si="3"/>
        <v/>
      </c>
      <c r="H16" s="65">
        <f ca="1">IF(ISTEXT(G16),MAX(MIN(F16:F$16),C16)-C16,F16-C16)</f>
        <v>0</v>
      </c>
      <c r="J16" s="81"/>
      <c r="K16" s="80"/>
      <c r="L16" s="80"/>
      <c r="M16" s="71"/>
    </row>
    <row r="17" spans="2:14" x14ac:dyDescent="0.3">
      <c r="J17" s="81"/>
      <c r="K17" s="80"/>
      <c r="L17" s="80"/>
      <c r="M17" s="80"/>
      <c r="N17" s="81"/>
    </row>
    <row r="18" spans="2:14" x14ac:dyDescent="0.3">
      <c r="H18" s="146"/>
      <c r="I18" s="146"/>
      <c r="J18" s="81"/>
      <c r="K18" s="80"/>
      <c r="L18" s="80"/>
      <c r="M18" s="80"/>
      <c r="N18" s="81"/>
    </row>
    <row r="19" spans="2:14" x14ac:dyDescent="0.3">
      <c r="H19" s="147"/>
      <c r="I19" s="147"/>
      <c r="J19" s="81"/>
      <c r="K19" s="80"/>
      <c r="L19" s="80"/>
      <c r="M19" s="80"/>
      <c r="N19" s="81"/>
    </row>
    <row r="20" spans="2:14" x14ac:dyDescent="0.3">
      <c r="H20" s="70"/>
      <c r="I20" s="66"/>
      <c r="J20" s="81"/>
      <c r="K20" s="80"/>
      <c r="L20" s="80"/>
      <c r="M20" s="80"/>
      <c r="N20" s="81"/>
    </row>
    <row r="21" spans="2:14" x14ac:dyDescent="0.3">
      <c r="H21" s="70"/>
      <c r="I21" s="66"/>
      <c r="L21" s="80"/>
      <c r="M21" s="81"/>
      <c r="N21" s="81"/>
    </row>
    <row r="22" spans="2:14" ht="21" thickBot="1" x14ac:dyDescent="0.35">
      <c r="H22" s="70"/>
      <c r="I22" s="66"/>
      <c r="L22" s="80"/>
      <c r="M22" s="81"/>
      <c r="N22" s="81"/>
    </row>
    <row r="23" spans="2:14" ht="21" thickBot="1" x14ac:dyDescent="0.35">
      <c r="B23" s="79" t="s">
        <v>51</v>
      </c>
      <c r="H23" s="70"/>
      <c r="I23" s="66"/>
      <c r="L23" s="80"/>
      <c r="M23" s="81"/>
      <c r="N23" s="81"/>
    </row>
    <row r="24" spans="2:14" x14ac:dyDescent="0.3">
      <c r="H24" s="70"/>
      <c r="I24" s="66"/>
    </row>
    <row r="25" spans="2:14" x14ac:dyDescent="0.3">
      <c r="H25" s="70"/>
      <c r="I25" s="66"/>
    </row>
    <row r="26" spans="2:14" x14ac:dyDescent="0.3">
      <c r="H26" s="70"/>
      <c r="I26" s="66"/>
    </row>
    <row r="27" spans="2:14" x14ac:dyDescent="0.3">
      <c r="H27" s="70"/>
      <c r="I27" s="66"/>
    </row>
  </sheetData>
  <mergeCells count="10">
    <mergeCell ref="B7:B8"/>
    <mergeCell ref="C7:C8"/>
    <mergeCell ref="D7:D8"/>
    <mergeCell ref="E7:E8"/>
    <mergeCell ref="F7:G7"/>
    <mergeCell ref="H7:H8"/>
    <mergeCell ref="L7:L9"/>
    <mergeCell ref="M7:M9"/>
    <mergeCell ref="H18:H19"/>
    <mergeCell ref="I18:I1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9"/>
  <sheetViews>
    <sheetView workbookViewId="0">
      <selection activeCell="J35" sqref="J35"/>
    </sheetView>
  </sheetViews>
  <sheetFormatPr defaultRowHeight="20.25" x14ac:dyDescent="0.3"/>
  <cols>
    <col min="1" max="1" width="9.140625" style="33"/>
    <col min="2" max="2" width="21" style="33" customWidth="1"/>
    <col min="3" max="3" width="16" style="33" customWidth="1"/>
    <col min="4" max="4" width="19.28515625" style="33" customWidth="1"/>
    <col min="5" max="16384" width="9.140625" style="33"/>
  </cols>
  <sheetData>
    <row r="2" spans="2:4" ht="21" thickBot="1" x14ac:dyDescent="0.35">
      <c r="B2" s="83" t="s">
        <v>55</v>
      </c>
    </row>
    <row r="3" spans="2:4" ht="21" thickBot="1" x14ac:dyDescent="0.35">
      <c r="B3" s="84" t="s">
        <v>52</v>
      </c>
      <c r="C3" s="47"/>
      <c r="D3" s="82">
        <v>60</v>
      </c>
    </row>
    <row r="4" spans="2:4" ht="21" thickBot="1" x14ac:dyDescent="0.35">
      <c r="B4" s="84" t="s">
        <v>53</v>
      </c>
      <c r="C4" s="47"/>
      <c r="D4" s="82">
        <v>160</v>
      </c>
    </row>
    <row r="5" spans="2:4" ht="21" thickBot="1" x14ac:dyDescent="0.35">
      <c r="B5" s="84" t="s">
        <v>54</v>
      </c>
      <c r="C5" s="47"/>
      <c r="D5" s="49">
        <v>50</v>
      </c>
    </row>
    <row r="6" spans="2:4" ht="24" thickBot="1" x14ac:dyDescent="0.45">
      <c r="B6" s="84" t="s">
        <v>56</v>
      </c>
      <c r="C6" s="47"/>
      <c r="D6" s="49">
        <v>40</v>
      </c>
    </row>
    <row r="7" spans="2:4" ht="24" thickBot="1" x14ac:dyDescent="0.45">
      <c r="B7" s="84" t="s">
        <v>57</v>
      </c>
      <c r="C7" s="47"/>
      <c r="D7" s="49">
        <v>10</v>
      </c>
    </row>
    <row r="9" spans="2:4" x14ac:dyDescent="0.3">
      <c r="B9" s="34" t="s">
        <v>58</v>
      </c>
    </row>
    <row r="10" spans="2:4" x14ac:dyDescent="0.3">
      <c r="B10" s="87" t="s">
        <v>59</v>
      </c>
      <c r="C10" s="87" t="s">
        <v>60</v>
      </c>
      <c r="D10" s="87" t="s">
        <v>61</v>
      </c>
    </row>
    <row r="11" spans="2:4" x14ac:dyDescent="0.3">
      <c r="B11" s="85">
        <v>1</v>
      </c>
      <c r="C11" s="86">
        <f ca="1">INT($D$6+$D$7*((RAND()+RAND()+RAND()+RAND()+RAND()+RAND())+RAND()+RAND()+RAND()+RAND()+RAND()+RAND()-6))</f>
        <v>36</v>
      </c>
      <c r="D11" s="54">
        <f ca="1">IF(C11&lt;$D$5,$D$3*($D$5-C11),$D$4*(C11-$D$5))</f>
        <v>840</v>
      </c>
    </row>
    <row r="12" spans="2:4" x14ac:dyDescent="0.3">
      <c r="B12" s="85">
        <v>2</v>
      </c>
      <c r="C12" s="86">
        <f t="shared" ref="C12:C25" ca="1" si="0">INT($D$6+$D$7*((RAND()+RAND()+RAND()+RAND()+RAND()+RAND())+RAND()+RAND()+RAND()+RAND()+RAND()+RAND()-6))</f>
        <v>35</v>
      </c>
      <c r="D12" s="54">
        <f t="shared" ref="D12:D25" ca="1" si="1">IF(C12&lt;$D$5,$D$3*($D$5-C12),$D$4*(C12-$D$5))</f>
        <v>900</v>
      </c>
    </row>
    <row r="13" spans="2:4" x14ac:dyDescent="0.3">
      <c r="B13" s="85">
        <v>3</v>
      </c>
      <c r="C13" s="86">
        <f t="shared" ca="1" si="0"/>
        <v>27</v>
      </c>
      <c r="D13" s="54">
        <f t="shared" ca="1" si="1"/>
        <v>1380</v>
      </c>
    </row>
    <row r="14" spans="2:4" x14ac:dyDescent="0.3">
      <c r="B14" s="85">
        <v>4</v>
      </c>
      <c r="C14" s="86">
        <f t="shared" ca="1" si="0"/>
        <v>23</v>
      </c>
      <c r="D14" s="54">
        <f t="shared" ca="1" si="1"/>
        <v>1620</v>
      </c>
    </row>
    <row r="15" spans="2:4" x14ac:dyDescent="0.3">
      <c r="B15" s="85">
        <v>5</v>
      </c>
      <c r="C15" s="86">
        <f t="shared" ca="1" si="0"/>
        <v>38</v>
      </c>
      <c r="D15" s="54">
        <f t="shared" ca="1" si="1"/>
        <v>720</v>
      </c>
    </row>
    <row r="16" spans="2:4" x14ac:dyDescent="0.3">
      <c r="B16" s="85">
        <v>6</v>
      </c>
      <c r="C16" s="86">
        <f t="shared" ca="1" si="0"/>
        <v>44</v>
      </c>
      <c r="D16" s="54">
        <f t="shared" ca="1" si="1"/>
        <v>360</v>
      </c>
    </row>
    <row r="17" spans="2:4" x14ac:dyDescent="0.3">
      <c r="B17" s="85">
        <v>7</v>
      </c>
      <c r="C17" s="86">
        <f t="shared" ca="1" si="0"/>
        <v>37</v>
      </c>
      <c r="D17" s="54">
        <f t="shared" ca="1" si="1"/>
        <v>780</v>
      </c>
    </row>
    <row r="18" spans="2:4" x14ac:dyDescent="0.3">
      <c r="B18" s="85">
        <v>8</v>
      </c>
      <c r="C18" s="86">
        <f t="shared" ca="1" si="0"/>
        <v>29</v>
      </c>
      <c r="D18" s="54">
        <f t="shared" ca="1" si="1"/>
        <v>1260</v>
      </c>
    </row>
    <row r="19" spans="2:4" x14ac:dyDescent="0.3">
      <c r="B19" s="85">
        <v>9</v>
      </c>
      <c r="C19" s="86">
        <f t="shared" ca="1" si="0"/>
        <v>45</v>
      </c>
      <c r="D19" s="54">
        <f t="shared" ca="1" si="1"/>
        <v>300</v>
      </c>
    </row>
    <row r="20" spans="2:4" x14ac:dyDescent="0.3">
      <c r="B20" s="85">
        <v>10</v>
      </c>
      <c r="C20" s="86">
        <f t="shared" ca="1" si="0"/>
        <v>56</v>
      </c>
      <c r="D20" s="54">
        <f t="shared" ca="1" si="1"/>
        <v>960</v>
      </c>
    </row>
    <row r="21" spans="2:4" x14ac:dyDescent="0.3">
      <c r="B21" s="85">
        <v>11</v>
      </c>
      <c r="C21" s="86">
        <f t="shared" ca="1" si="0"/>
        <v>19</v>
      </c>
      <c r="D21" s="54">
        <f t="shared" ca="1" si="1"/>
        <v>1860</v>
      </c>
    </row>
    <row r="22" spans="2:4" x14ac:dyDescent="0.3">
      <c r="B22" s="85">
        <v>12</v>
      </c>
      <c r="C22" s="86">
        <f t="shared" ca="1" si="0"/>
        <v>39</v>
      </c>
      <c r="D22" s="54">
        <f t="shared" ca="1" si="1"/>
        <v>660</v>
      </c>
    </row>
    <row r="23" spans="2:4" x14ac:dyDescent="0.3">
      <c r="B23" s="85">
        <v>13</v>
      </c>
      <c r="C23" s="86">
        <f t="shared" ca="1" si="0"/>
        <v>44</v>
      </c>
      <c r="D23" s="54">
        <f t="shared" ca="1" si="1"/>
        <v>360</v>
      </c>
    </row>
    <row r="24" spans="2:4" x14ac:dyDescent="0.3">
      <c r="B24" s="85">
        <v>14</v>
      </c>
      <c r="C24" s="86">
        <f t="shared" ca="1" si="0"/>
        <v>42</v>
      </c>
      <c r="D24" s="54">
        <f t="shared" ca="1" si="1"/>
        <v>480</v>
      </c>
    </row>
    <row r="25" spans="2:4" x14ac:dyDescent="0.3">
      <c r="B25" s="85">
        <v>15</v>
      </c>
      <c r="C25" s="86">
        <f t="shared" ca="1" si="0"/>
        <v>43</v>
      </c>
      <c r="D25" s="54">
        <f t="shared" ca="1" si="1"/>
        <v>420</v>
      </c>
    </row>
    <row r="27" spans="2:4" ht="21" thickBot="1" x14ac:dyDescent="0.35">
      <c r="B27" s="88" t="s">
        <v>62</v>
      </c>
      <c r="C27" s="88"/>
    </row>
    <row r="28" spans="2:4" ht="21" thickBot="1" x14ac:dyDescent="0.35">
      <c r="B28" s="89" t="s">
        <v>64</v>
      </c>
      <c r="C28" s="90"/>
      <c r="D28" s="93">
        <f ca="1">AVERAGE(D11:D25)</f>
        <v>860</v>
      </c>
    </row>
    <row r="29" spans="2:4" ht="21" thickBot="1" x14ac:dyDescent="0.35">
      <c r="B29" s="91" t="s">
        <v>65</v>
      </c>
      <c r="C29" s="92"/>
      <c r="D29" s="94">
        <f ca="1">(_xlfn.VAR.S(D11:D25))^(1/2)</f>
        <v>480.89202827364778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9"/>
  <sheetViews>
    <sheetView topLeftCell="A4" zoomScale="80" zoomScaleNormal="80" workbookViewId="0">
      <selection activeCell="G8" sqref="G8"/>
    </sheetView>
  </sheetViews>
  <sheetFormatPr defaultRowHeight="20.25" x14ac:dyDescent="0.3"/>
  <cols>
    <col min="1" max="1" width="9.140625" style="33"/>
    <col min="2" max="2" width="21" style="33" customWidth="1"/>
    <col min="3" max="3" width="16" style="33" customWidth="1"/>
    <col min="4" max="4" width="19.28515625" style="33" customWidth="1"/>
    <col min="5" max="5" width="9.140625" style="33"/>
    <col min="6" max="6" width="20" style="33" bestFit="1" customWidth="1"/>
    <col min="7" max="7" width="29.42578125" style="33" customWidth="1"/>
    <col min="8" max="16384" width="9.140625" style="33"/>
  </cols>
  <sheetData>
    <row r="2" spans="2:10" ht="21" thickBot="1" x14ac:dyDescent="0.35">
      <c r="B2" s="83" t="s">
        <v>55</v>
      </c>
    </row>
    <row r="3" spans="2:10" ht="21" thickBot="1" x14ac:dyDescent="0.35">
      <c r="B3" s="84" t="s">
        <v>52</v>
      </c>
      <c r="C3" s="47"/>
      <c r="D3" s="82">
        <v>60</v>
      </c>
      <c r="F3" s="96" t="s">
        <v>66</v>
      </c>
      <c r="G3" s="97" t="s">
        <v>63</v>
      </c>
    </row>
    <row r="4" spans="2:10" ht="21" thickBot="1" x14ac:dyDescent="0.35">
      <c r="B4" s="84" t="s">
        <v>53</v>
      </c>
      <c r="C4" s="47"/>
      <c r="D4" s="82">
        <v>160</v>
      </c>
      <c r="F4" s="55"/>
      <c r="G4" s="98">
        <f ca="1">D28</f>
        <v>880</v>
      </c>
    </row>
    <row r="5" spans="2:10" ht="21" thickBot="1" x14ac:dyDescent="0.35">
      <c r="B5" s="84" t="s">
        <v>54</v>
      </c>
      <c r="C5" s="47"/>
      <c r="D5" s="49">
        <v>50</v>
      </c>
      <c r="F5" s="99">
        <v>20</v>
      </c>
      <c r="G5" s="98">
        <f t="dataTable" ref="G5:G11" dt2D="0" dtr="0" r1="D5" ca="1"/>
        <v>3033.3333333333335</v>
      </c>
    </row>
    <row r="6" spans="2:10" ht="24" thickBot="1" x14ac:dyDescent="0.45">
      <c r="B6" s="84" t="s">
        <v>56</v>
      </c>
      <c r="C6" s="47"/>
      <c r="D6" s="49">
        <v>40</v>
      </c>
      <c r="F6" s="99">
        <v>30</v>
      </c>
      <c r="G6" s="98">
        <v>2524</v>
      </c>
    </row>
    <row r="7" spans="2:10" ht="24" thickBot="1" x14ac:dyDescent="0.45">
      <c r="B7" s="84" t="s">
        <v>57</v>
      </c>
      <c r="C7" s="47"/>
      <c r="D7" s="49">
        <v>10</v>
      </c>
      <c r="F7" s="99">
        <v>40</v>
      </c>
      <c r="G7" s="98">
        <v>436</v>
      </c>
    </row>
    <row r="8" spans="2:10" x14ac:dyDescent="0.3">
      <c r="F8" s="99">
        <v>50</v>
      </c>
      <c r="G8" s="98">
        <v>738.66666666666663</v>
      </c>
    </row>
    <row r="9" spans="2:10" x14ac:dyDescent="0.3">
      <c r="B9" s="34" t="s">
        <v>58</v>
      </c>
      <c r="F9" s="99">
        <v>60</v>
      </c>
      <c r="G9" s="98">
        <v>1424</v>
      </c>
    </row>
    <row r="10" spans="2:10" x14ac:dyDescent="0.3">
      <c r="B10" s="87" t="s">
        <v>59</v>
      </c>
      <c r="C10" s="87" t="s">
        <v>60</v>
      </c>
      <c r="D10" s="87" t="s">
        <v>61</v>
      </c>
      <c r="F10" s="99">
        <v>70</v>
      </c>
      <c r="G10" s="98">
        <v>1900</v>
      </c>
    </row>
    <row r="11" spans="2:10" ht="21" thickBot="1" x14ac:dyDescent="0.35">
      <c r="B11" s="85">
        <v>1</v>
      </c>
      <c r="C11" s="86">
        <f ca="1">INT($D$6+$D$7*((RAND()+RAND()+RAND()+RAND()+RAND()+RAND())+RAND()+RAND()+RAND()+RAND()+RAND()+RAND()-6))</f>
        <v>26</v>
      </c>
      <c r="D11" s="54">
        <f ca="1">IF(C11&lt;$D$5,$D$3*($D$5-C11),$D$4*(C11-$D$5))</f>
        <v>1440</v>
      </c>
      <c r="F11" s="100">
        <v>80</v>
      </c>
      <c r="G11" s="101">
        <v>2532</v>
      </c>
    </row>
    <row r="12" spans="2:10" x14ac:dyDescent="0.3">
      <c r="B12" s="85">
        <v>2</v>
      </c>
      <c r="C12" s="86">
        <f t="shared" ref="C12:C25" ca="1" si="0">INT($D$6+$D$7*((RAND()+RAND()+RAND()+RAND()+RAND()+RAND())+RAND()+RAND()+RAND()+RAND()+RAND()+RAND()-6))</f>
        <v>38</v>
      </c>
      <c r="D12" s="54">
        <f t="shared" ref="D12:D25" ca="1" si="1">IF(C12&lt;$D$5,$D$3*($D$5-C12),$D$4*(C12-$D$5))</f>
        <v>720</v>
      </c>
    </row>
    <row r="13" spans="2:10" x14ac:dyDescent="0.3">
      <c r="B13" s="85">
        <v>3</v>
      </c>
      <c r="C13" s="86">
        <f t="shared" ca="1" si="0"/>
        <v>45</v>
      </c>
      <c r="D13" s="54">
        <f t="shared" ca="1" si="1"/>
        <v>300</v>
      </c>
    </row>
    <row r="14" spans="2:10" x14ac:dyDescent="0.3">
      <c r="B14" s="85">
        <v>4</v>
      </c>
      <c r="C14" s="86">
        <f t="shared" ca="1" si="0"/>
        <v>31</v>
      </c>
      <c r="D14" s="54">
        <f t="shared" ca="1" si="1"/>
        <v>1140</v>
      </c>
    </row>
    <row r="15" spans="2:10" x14ac:dyDescent="0.3">
      <c r="B15" s="85">
        <v>5</v>
      </c>
      <c r="C15" s="86">
        <f t="shared" ca="1" si="0"/>
        <v>40</v>
      </c>
      <c r="D15" s="54">
        <f t="shared" ca="1" si="1"/>
        <v>600</v>
      </c>
      <c r="J15" s="33">
        <v>0</v>
      </c>
    </row>
    <row r="16" spans="2:10" x14ac:dyDescent="0.3">
      <c r="B16" s="85">
        <v>6</v>
      </c>
      <c r="C16" s="86">
        <f t="shared" ca="1" si="0"/>
        <v>63</v>
      </c>
      <c r="D16" s="54">
        <f t="shared" ca="1" si="1"/>
        <v>2080</v>
      </c>
    </row>
    <row r="17" spans="2:7" x14ac:dyDescent="0.3">
      <c r="B17" s="85">
        <v>7</v>
      </c>
      <c r="C17" s="86">
        <f t="shared" ca="1" si="0"/>
        <v>47</v>
      </c>
      <c r="D17" s="54">
        <f t="shared" ca="1" si="1"/>
        <v>180</v>
      </c>
    </row>
    <row r="18" spans="2:7" x14ac:dyDescent="0.3">
      <c r="B18" s="85">
        <v>8</v>
      </c>
      <c r="C18" s="86">
        <f t="shared" ca="1" si="0"/>
        <v>55</v>
      </c>
      <c r="D18" s="54">
        <f t="shared" ca="1" si="1"/>
        <v>800</v>
      </c>
      <c r="F18" s="95"/>
      <c r="G18" s="66"/>
    </row>
    <row r="19" spans="2:7" x14ac:dyDescent="0.3">
      <c r="B19" s="85">
        <v>9</v>
      </c>
      <c r="C19" s="86">
        <f t="shared" ca="1" si="0"/>
        <v>37</v>
      </c>
      <c r="D19" s="54">
        <f t="shared" ca="1" si="1"/>
        <v>780</v>
      </c>
      <c r="F19" s="95"/>
      <c r="G19" s="66"/>
    </row>
    <row r="20" spans="2:7" x14ac:dyDescent="0.3">
      <c r="B20" s="85">
        <v>10</v>
      </c>
      <c r="C20" s="86">
        <f t="shared" ca="1" si="0"/>
        <v>39</v>
      </c>
      <c r="D20" s="54">
        <f t="shared" ca="1" si="1"/>
        <v>660</v>
      </c>
      <c r="F20" s="95"/>
      <c r="G20" s="66"/>
    </row>
    <row r="21" spans="2:7" x14ac:dyDescent="0.3">
      <c r="B21" s="85">
        <v>11</v>
      </c>
      <c r="C21" s="86">
        <f t="shared" ca="1" si="0"/>
        <v>34</v>
      </c>
      <c r="D21" s="54">
        <f t="shared" ca="1" si="1"/>
        <v>960</v>
      </c>
      <c r="F21" s="95"/>
      <c r="G21" s="66"/>
    </row>
    <row r="22" spans="2:7" x14ac:dyDescent="0.3">
      <c r="B22" s="85">
        <v>12</v>
      </c>
      <c r="C22" s="86">
        <f t="shared" ca="1" si="0"/>
        <v>25</v>
      </c>
      <c r="D22" s="54">
        <f t="shared" ca="1" si="1"/>
        <v>1500</v>
      </c>
      <c r="F22" s="95"/>
      <c r="G22" s="66"/>
    </row>
    <row r="23" spans="2:7" x14ac:dyDescent="0.3">
      <c r="B23" s="85">
        <v>13</v>
      </c>
      <c r="C23" s="86">
        <f t="shared" ca="1" si="0"/>
        <v>47</v>
      </c>
      <c r="D23" s="54">
        <f t="shared" ca="1" si="1"/>
        <v>180</v>
      </c>
      <c r="F23" s="95"/>
      <c r="G23" s="66"/>
    </row>
    <row r="24" spans="2:7" x14ac:dyDescent="0.3">
      <c r="B24" s="85">
        <v>14</v>
      </c>
      <c r="C24" s="86">
        <f t="shared" ca="1" si="0"/>
        <v>40</v>
      </c>
      <c r="D24" s="54">
        <f t="shared" ca="1" si="1"/>
        <v>600</v>
      </c>
      <c r="F24" s="95"/>
      <c r="G24" s="66"/>
    </row>
    <row r="25" spans="2:7" x14ac:dyDescent="0.3">
      <c r="B25" s="85">
        <v>15</v>
      </c>
      <c r="C25" s="86">
        <f t="shared" ca="1" si="0"/>
        <v>29</v>
      </c>
      <c r="D25" s="54">
        <f t="shared" ca="1" si="1"/>
        <v>1260</v>
      </c>
      <c r="F25" s="95"/>
      <c r="G25" s="66"/>
    </row>
    <row r="27" spans="2:7" ht="21" thickBot="1" x14ac:dyDescent="0.35">
      <c r="B27" s="88" t="s">
        <v>62</v>
      </c>
      <c r="C27" s="88"/>
    </row>
    <row r="28" spans="2:7" ht="21" thickBot="1" x14ac:dyDescent="0.35">
      <c r="B28" s="89" t="s">
        <v>64</v>
      </c>
      <c r="C28" s="90"/>
      <c r="D28" s="93">
        <f ca="1">AVERAGE(D11:D25)</f>
        <v>880</v>
      </c>
    </row>
    <row r="29" spans="2:7" ht="21" thickBot="1" x14ac:dyDescent="0.35">
      <c r="B29" s="91" t="s">
        <v>65</v>
      </c>
      <c r="C29" s="92"/>
      <c r="D29" s="94">
        <f ca="1">(_xlfn.VAR.S(D11:D25))^(1/2)</f>
        <v>529.15026221291816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9"/>
  <sheetViews>
    <sheetView zoomScale="80" zoomScaleNormal="80" workbookViewId="0">
      <selection activeCell="J27" sqref="J27"/>
    </sheetView>
  </sheetViews>
  <sheetFormatPr defaultRowHeight="20.25" x14ac:dyDescent="0.3"/>
  <cols>
    <col min="1" max="1" width="9.140625" style="33"/>
    <col min="2" max="2" width="21" style="33" customWidth="1"/>
    <col min="3" max="3" width="16" style="33" customWidth="1"/>
    <col min="4" max="4" width="19.28515625" style="33" customWidth="1"/>
    <col min="5" max="5" width="9.140625" style="33"/>
    <col min="6" max="6" width="20" style="33" bestFit="1" customWidth="1"/>
    <col min="7" max="7" width="29.42578125" style="33" customWidth="1"/>
    <col min="8" max="16384" width="9.140625" style="33"/>
  </cols>
  <sheetData>
    <row r="2" spans="2:7" ht="21" thickBot="1" x14ac:dyDescent="0.35">
      <c r="B2" s="83" t="s">
        <v>55</v>
      </c>
    </row>
    <row r="3" spans="2:7" ht="21" thickBot="1" x14ac:dyDescent="0.35">
      <c r="B3" s="84" t="s">
        <v>52</v>
      </c>
      <c r="C3" s="47"/>
      <c r="D3" s="82">
        <v>60</v>
      </c>
      <c r="F3" s="66"/>
      <c r="G3" s="112"/>
    </row>
    <row r="4" spans="2:7" ht="21" thickBot="1" x14ac:dyDescent="0.35">
      <c r="B4" s="84" t="s">
        <v>53</v>
      </c>
      <c r="C4" s="47"/>
      <c r="D4" s="82">
        <v>160</v>
      </c>
      <c r="F4" s="66"/>
      <c r="G4" s="113"/>
    </row>
    <row r="5" spans="2:7" ht="21" thickBot="1" x14ac:dyDescent="0.35">
      <c r="B5" s="84" t="s">
        <v>54</v>
      </c>
      <c r="C5" s="47"/>
      <c r="D5" s="49">
        <v>45</v>
      </c>
      <c r="F5" s="95"/>
      <c r="G5" s="113"/>
    </row>
    <row r="6" spans="2:7" ht="24" thickBot="1" x14ac:dyDescent="0.45">
      <c r="B6" s="84" t="s">
        <v>56</v>
      </c>
      <c r="C6" s="47"/>
      <c r="D6" s="49">
        <v>40</v>
      </c>
      <c r="F6" s="95"/>
      <c r="G6" s="113"/>
    </row>
    <row r="7" spans="2:7" ht="24" thickBot="1" x14ac:dyDescent="0.45">
      <c r="B7" s="84" t="s">
        <v>57</v>
      </c>
      <c r="C7" s="47"/>
      <c r="D7" s="49">
        <v>10</v>
      </c>
      <c r="F7" s="95"/>
      <c r="G7" s="113"/>
    </row>
    <row r="8" spans="2:7" x14ac:dyDescent="0.3">
      <c r="F8" s="95"/>
      <c r="G8" s="113"/>
    </row>
    <row r="9" spans="2:7" x14ac:dyDescent="0.3">
      <c r="B9" s="34" t="s">
        <v>58</v>
      </c>
      <c r="F9" s="95"/>
      <c r="G9" s="113"/>
    </row>
    <row r="10" spans="2:7" x14ac:dyDescent="0.3">
      <c r="B10" s="87" t="s">
        <v>59</v>
      </c>
      <c r="C10" s="87" t="s">
        <v>60</v>
      </c>
      <c r="D10" s="87" t="s">
        <v>61</v>
      </c>
      <c r="F10" s="95"/>
      <c r="G10" s="113"/>
    </row>
    <row r="11" spans="2:7" x14ac:dyDescent="0.3">
      <c r="B11" s="85">
        <v>1</v>
      </c>
      <c r="C11" s="86">
        <f ca="1">INT($D$6+$D$7*((RAND()+RAND()+RAND()+RAND()+RAND()+RAND())+RAND()+RAND()+RAND()+RAND()+RAND()+RAND()-6))</f>
        <v>30</v>
      </c>
      <c r="D11" s="54">
        <f ca="1">IF(C11&lt;$D$5,$D$3*($D$5-C11),$D$4*(C11-$D$5))</f>
        <v>900</v>
      </c>
      <c r="F11" s="95"/>
      <c r="G11" s="113"/>
    </row>
    <row r="12" spans="2:7" x14ac:dyDescent="0.3">
      <c r="B12" s="85">
        <v>2</v>
      </c>
      <c r="C12" s="86">
        <f t="shared" ref="C12:C25" ca="1" si="0">INT($D$6+$D$7*((RAND()+RAND()+RAND()+RAND()+RAND()+RAND())+RAND()+RAND()+RAND()+RAND()+RAND()+RAND()-6))</f>
        <v>29</v>
      </c>
      <c r="D12" s="54">
        <f t="shared" ref="D12:D25" ca="1" si="1">IF(C12&lt;$D$5,$D$3*($D$5-C12),$D$4*(C12-$D$5))</f>
        <v>960</v>
      </c>
      <c r="F12" s="66"/>
      <c r="G12" s="66"/>
    </row>
    <row r="13" spans="2:7" x14ac:dyDescent="0.3">
      <c r="B13" s="85">
        <v>3</v>
      </c>
      <c r="C13" s="86">
        <f t="shared" ca="1" si="0"/>
        <v>42</v>
      </c>
      <c r="D13" s="54">
        <f t="shared" ca="1" si="1"/>
        <v>180</v>
      </c>
    </row>
    <row r="14" spans="2:7" x14ac:dyDescent="0.3">
      <c r="B14" s="85">
        <v>4</v>
      </c>
      <c r="C14" s="86">
        <f t="shared" ca="1" si="0"/>
        <v>57</v>
      </c>
      <c r="D14" s="54">
        <f t="shared" ca="1" si="1"/>
        <v>1920</v>
      </c>
    </row>
    <row r="15" spans="2:7" x14ac:dyDescent="0.3">
      <c r="B15" s="85">
        <v>5</v>
      </c>
      <c r="C15" s="86">
        <f t="shared" ca="1" si="0"/>
        <v>52</v>
      </c>
      <c r="D15" s="54">
        <f t="shared" ca="1" si="1"/>
        <v>1120</v>
      </c>
    </row>
    <row r="16" spans="2:7" x14ac:dyDescent="0.3">
      <c r="B16" s="85">
        <v>6</v>
      </c>
      <c r="C16" s="86">
        <f t="shared" ca="1" si="0"/>
        <v>37</v>
      </c>
      <c r="D16" s="54">
        <f t="shared" ca="1" si="1"/>
        <v>480</v>
      </c>
    </row>
    <row r="17" spans="2:7" x14ac:dyDescent="0.3">
      <c r="B17" s="85">
        <v>7</v>
      </c>
      <c r="C17" s="86">
        <f t="shared" ca="1" si="0"/>
        <v>31</v>
      </c>
      <c r="D17" s="54">
        <f t="shared" ca="1" si="1"/>
        <v>840</v>
      </c>
    </row>
    <row r="18" spans="2:7" x14ac:dyDescent="0.3">
      <c r="B18" s="85">
        <v>8</v>
      </c>
      <c r="C18" s="86">
        <f t="shared" ca="1" si="0"/>
        <v>39</v>
      </c>
      <c r="D18" s="54">
        <f t="shared" ca="1" si="1"/>
        <v>360</v>
      </c>
      <c r="F18" s="95"/>
      <c r="G18" s="66"/>
    </row>
    <row r="19" spans="2:7" x14ac:dyDescent="0.3">
      <c r="B19" s="85">
        <v>9</v>
      </c>
      <c r="C19" s="86">
        <f t="shared" ca="1" si="0"/>
        <v>23</v>
      </c>
      <c r="D19" s="54">
        <f t="shared" ca="1" si="1"/>
        <v>1320</v>
      </c>
      <c r="F19" s="95"/>
      <c r="G19" s="66"/>
    </row>
    <row r="20" spans="2:7" x14ac:dyDescent="0.3">
      <c r="B20" s="85">
        <v>10</v>
      </c>
      <c r="C20" s="86">
        <f t="shared" ca="1" si="0"/>
        <v>57</v>
      </c>
      <c r="D20" s="54">
        <f t="shared" ca="1" si="1"/>
        <v>1920</v>
      </c>
      <c r="F20" s="95"/>
      <c r="G20" s="66"/>
    </row>
    <row r="21" spans="2:7" x14ac:dyDescent="0.3">
      <c r="B21" s="85">
        <v>11</v>
      </c>
      <c r="C21" s="86">
        <f t="shared" ca="1" si="0"/>
        <v>34</v>
      </c>
      <c r="D21" s="54">
        <f t="shared" ca="1" si="1"/>
        <v>660</v>
      </c>
      <c r="F21" s="95"/>
      <c r="G21" s="66"/>
    </row>
    <row r="22" spans="2:7" x14ac:dyDescent="0.3">
      <c r="B22" s="85">
        <v>12</v>
      </c>
      <c r="C22" s="86">
        <f t="shared" ca="1" si="0"/>
        <v>58</v>
      </c>
      <c r="D22" s="54">
        <f t="shared" ca="1" si="1"/>
        <v>2080</v>
      </c>
      <c r="F22" s="95"/>
      <c r="G22" s="66"/>
    </row>
    <row r="23" spans="2:7" x14ac:dyDescent="0.3">
      <c r="B23" s="85">
        <v>13</v>
      </c>
      <c r="C23" s="86">
        <f t="shared" ca="1" si="0"/>
        <v>38</v>
      </c>
      <c r="D23" s="54">
        <f t="shared" ca="1" si="1"/>
        <v>420</v>
      </c>
      <c r="F23" s="95"/>
      <c r="G23" s="66"/>
    </row>
    <row r="24" spans="2:7" x14ac:dyDescent="0.3">
      <c r="B24" s="85">
        <v>14</v>
      </c>
      <c r="C24" s="86">
        <f t="shared" ca="1" si="0"/>
        <v>22</v>
      </c>
      <c r="D24" s="54">
        <f t="shared" ca="1" si="1"/>
        <v>1380</v>
      </c>
      <c r="F24" s="95"/>
      <c r="G24" s="66"/>
    </row>
    <row r="25" spans="2:7" x14ac:dyDescent="0.3">
      <c r="B25" s="85">
        <v>15</v>
      </c>
      <c r="C25" s="86">
        <f t="shared" ca="1" si="0"/>
        <v>54</v>
      </c>
      <c r="D25" s="54">
        <f t="shared" ca="1" si="1"/>
        <v>1440</v>
      </c>
      <c r="F25" s="95"/>
      <c r="G25" s="66"/>
    </row>
    <row r="27" spans="2:7" ht="21" thickBot="1" x14ac:dyDescent="0.35">
      <c r="B27" s="88" t="s">
        <v>62</v>
      </c>
      <c r="C27" s="88"/>
    </row>
    <row r="28" spans="2:7" ht="21" thickBot="1" x14ac:dyDescent="0.35">
      <c r="B28" s="89" t="s">
        <v>64</v>
      </c>
      <c r="C28" s="90"/>
      <c r="D28" s="93">
        <f ca="1">AVERAGE(D11:D25)</f>
        <v>1065.3333333333333</v>
      </c>
    </row>
    <row r="29" spans="2:7" ht="21" thickBot="1" x14ac:dyDescent="0.35">
      <c r="B29" s="91" t="s">
        <v>65</v>
      </c>
      <c r="C29" s="92"/>
      <c r="D29" s="94">
        <f ca="1">(_xlfn.VAR.S(D11:D25))^(1/2)</f>
        <v>603.06202792400165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2"/>
  <sheetViews>
    <sheetView zoomScale="80" zoomScaleNormal="80" workbookViewId="0">
      <selection activeCell="C15" sqref="C12:C15"/>
    </sheetView>
  </sheetViews>
  <sheetFormatPr defaultRowHeight="20.25" x14ac:dyDescent="0.3"/>
  <cols>
    <col min="1" max="1" width="9.140625" style="33"/>
    <col min="2" max="2" width="21" style="33" customWidth="1"/>
    <col min="3" max="4" width="16" style="33" customWidth="1"/>
    <col min="5" max="5" width="19.28515625" style="33" customWidth="1"/>
    <col min="6" max="16384" width="9.140625" style="33"/>
  </cols>
  <sheetData>
    <row r="2" spans="2:5" ht="21" thickBot="1" x14ac:dyDescent="0.35">
      <c r="B2" s="83" t="s">
        <v>55</v>
      </c>
    </row>
    <row r="3" spans="2:5" ht="21" thickBot="1" x14ac:dyDescent="0.35">
      <c r="B3" s="84" t="s">
        <v>67</v>
      </c>
      <c r="C3" s="47"/>
      <c r="D3" s="47"/>
      <c r="E3" s="82">
        <v>60</v>
      </c>
    </row>
    <row r="4" spans="2:5" ht="21" thickBot="1" x14ac:dyDescent="0.35">
      <c r="B4" s="84" t="s">
        <v>68</v>
      </c>
      <c r="C4" s="47"/>
      <c r="D4" s="47"/>
      <c r="E4" s="82">
        <v>160</v>
      </c>
    </row>
    <row r="5" spans="2:5" ht="21" thickBot="1" x14ac:dyDescent="0.35">
      <c r="B5" s="84" t="s">
        <v>69</v>
      </c>
      <c r="C5" s="47"/>
      <c r="D5" s="47"/>
      <c r="E5" s="102">
        <v>5</v>
      </c>
    </row>
    <row r="6" spans="2:5" ht="21" thickBot="1" x14ac:dyDescent="0.35">
      <c r="B6" s="84" t="s">
        <v>70</v>
      </c>
      <c r="C6" s="47"/>
      <c r="D6" s="47"/>
      <c r="E6" s="49">
        <v>40</v>
      </c>
    </row>
    <row r="7" spans="2:5" ht="24" thickBot="1" x14ac:dyDescent="0.45">
      <c r="B7" s="84" t="s">
        <v>71</v>
      </c>
      <c r="C7" s="47"/>
      <c r="D7" s="47"/>
      <c r="E7" s="49">
        <v>40</v>
      </c>
    </row>
    <row r="8" spans="2:5" ht="24" thickBot="1" x14ac:dyDescent="0.45">
      <c r="B8" s="84" t="s">
        <v>72</v>
      </c>
      <c r="C8" s="47"/>
      <c r="D8" s="47"/>
      <c r="E8" s="49">
        <v>5</v>
      </c>
    </row>
    <row r="10" spans="2:5" ht="21" thickBot="1" x14ac:dyDescent="0.35">
      <c r="B10" s="34" t="s">
        <v>58</v>
      </c>
    </row>
    <row r="11" spans="2:5" x14ac:dyDescent="0.3">
      <c r="B11" s="103" t="s">
        <v>73</v>
      </c>
      <c r="C11" s="104" t="s">
        <v>60</v>
      </c>
      <c r="D11" s="104" t="s">
        <v>74</v>
      </c>
      <c r="E11" s="105" t="s">
        <v>61</v>
      </c>
    </row>
    <row r="12" spans="2:5" x14ac:dyDescent="0.3">
      <c r="B12" s="99">
        <v>1</v>
      </c>
      <c r="C12" s="86">
        <f t="shared" ref="C12:C26" ca="1" si="0">INT($E$7+$E$8*((RAND()+RAND()+RAND()+RAND()+RAND()+RAND())+RAND()+RAND()+RAND()+RAND()+RAND()+RAND()-6))</f>
        <v>34</v>
      </c>
      <c r="D12" s="86">
        <f ca="1">IF(C12&lt;($E$6+$E$5),$E$6+$E$5-C12,0)</f>
        <v>11</v>
      </c>
      <c r="E12" s="109">
        <f ca="1">IF(C12&lt;($E$6+$E$5),$E$3*($E$6+$E$5-C12),$E$4*(C12-$E$6-$E$5))</f>
        <v>660</v>
      </c>
    </row>
    <row r="13" spans="2:5" x14ac:dyDescent="0.3">
      <c r="B13" s="99">
        <v>2</v>
      </c>
      <c r="C13" s="86">
        <f t="shared" ca="1" si="0"/>
        <v>39</v>
      </c>
      <c r="D13" s="86">
        <f ca="1">IF(C13&lt;($E$6+D12),$E$6+D12-C13,0)</f>
        <v>12</v>
      </c>
      <c r="E13" s="106">
        <f ca="1">IF(C13&lt;($E$6+D12),$E$3*($E$6+D12-C13),$E$4*(C13-$E$6-D12))</f>
        <v>720</v>
      </c>
    </row>
    <row r="14" spans="2:5" x14ac:dyDescent="0.3">
      <c r="B14" s="99">
        <v>3</v>
      </c>
      <c r="C14" s="86">
        <f t="shared" ca="1" si="0"/>
        <v>41</v>
      </c>
      <c r="D14" s="86">
        <f t="shared" ref="D14:D26" ca="1" si="1">IF(C14&lt;($E$6+D13),$E$6+D13-C14,0)</f>
        <v>11</v>
      </c>
      <c r="E14" s="106">
        <f t="shared" ref="E14:E26" ca="1" si="2">IF(C14&lt;($E$6+D13),$E$3*($E$6+D13-C14),$E$4*(C14-$E$6-D13))</f>
        <v>660</v>
      </c>
    </row>
    <row r="15" spans="2:5" x14ac:dyDescent="0.3">
      <c r="B15" s="99">
        <v>4</v>
      </c>
      <c r="C15" s="86">
        <f t="shared" ca="1" si="0"/>
        <v>39</v>
      </c>
      <c r="D15" s="86">
        <f t="shared" ca="1" si="1"/>
        <v>12</v>
      </c>
      <c r="E15" s="106">
        <f t="shared" ca="1" si="2"/>
        <v>720</v>
      </c>
    </row>
    <row r="16" spans="2:5" x14ac:dyDescent="0.3">
      <c r="B16" s="99">
        <v>5</v>
      </c>
      <c r="C16" s="86">
        <f t="shared" ca="1" si="0"/>
        <v>44</v>
      </c>
      <c r="D16" s="86">
        <f t="shared" ca="1" si="1"/>
        <v>8</v>
      </c>
      <c r="E16" s="106">
        <f t="shared" ca="1" si="2"/>
        <v>480</v>
      </c>
    </row>
    <row r="17" spans="2:15" x14ac:dyDescent="0.3">
      <c r="B17" s="99">
        <v>6</v>
      </c>
      <c r="C17" s="86">
        <f t="shared" ca="1" si="0"/>
        <v>37</v>
      </c>
      <c r="D17" s="86">
        <f t="shared" ca="1" si="1"/>
        <v>11</v>
      </c>
      <c r="E17" s="106">
        <f t="shared" ca="1" si="2"/>
        <v>660</v>
      </c>
    </row>
    <row r="18" spans="2:15" x14ac:dyDescent="0.3">
      <c r="B18" s="99">
        <v>7</v>
      </c>
      <c r="C18" s="86">
        <f t="shared" ca="1" si="0"/>
        <v>37</v>
      </c>
      <c r="D18" s="86">
        <f t="shared" ca="1" si="1"/>
        <v>14</v>
      </c>
      <c r="E18" s="106">
        <f t="shared" ca="1" si="2"/>
        <v>840</v>
      </c>
    </row>
    <row r="19" spans="2:15" x14ac:dyDescent="0.3">
      <c r="B19" s="99">
        <v>8</v>
      </c>
      <c r="C19" s="86">
        <f t="shared" ca="1" si="0"/>
        <v>43</v>
      </c>
      <c r="D19" s="86">
        <f t="shared" ca="1" si="1"/>
        <v>11</v>
      </c>
      <c r="E19" s="106">
        <f t="shared" ca="1" si="2"/>
        <v>660</v>
      </c>
    </row>
    <row r="20" spans="2:15" x14ac:dyDescent="0.3">
      <c r="B20" s="99">
        <v>9</v>
      </c>
      <c r="C20" s="86">
        <f t="shared" ca="1" si="0"/>
        <v>42</v>
      </c>
      <c r="D20" s="86">
        <f t="shared" ca="1" si="1"/>
        <v>9</v>
      </c>
      <c r="E20" s="106">
        <f t="shared" ca="1" si="2"/>
        <v>540</v>
      </c>
    </row>
    <row r="21" spans="2:15" x14ac:dyDescent="0.3">
      <c r="B21" s="99">
        <v>10</v>
      </c>
      <c r="C21" s="86">
        <f t="shared" ca="1" si="0"/>
        <v>43</v>
      </c>
      <c r="D21" s="86">
        <f t="shared" ca="1" si="1"/>
        <v>6</v>
      </c>
      <c r="E21" s="106">
        <f t="shared" ca="1" si="2"/>
        <v>360</v>
      </c>
    </row>
    <row r="22" spans="2:15" x14ac:dyDescent="0.3">
      <c r="B22" s="99">
        <v>11</v>
      </c>
      <c r="C22" s="86">
        <f t="shared" ca="1" si="0"/>
        <v>41</v>
      </c>
      <c r="D22" s="86">
        <f t="shared" ca="1" si="1"/>
        <v>5</v>
      </c>
      <c r="E22" s="106">
        <f t="shared" ca="1" si="2"/>
        <v>300</v>
      </c>
    </row>
    <row r="23" spans="2:15" x14ac:dyDescent="0.3">
      <c r="B23" s="99">
        <v>12</v>
      </c>
      <c r="C23" s="86">
        <f t="shared" ca="1" si="0"/>
        <v>42</v>
      </c>
      <c r="D23" s="86">
        <f t="shared" ca="1" si="1"/>
        <v>3</v>
      </c>
      <c r="E23" s="106">
        <f t="shared" ca="1" si="2"/>
        <v>180</v>
      </c>
      <c r="O23" s="33">
        <v>0</v>
      </c>
    </row>
    <row r="24" spans="2:15" x14ac:dyDescent="0.3">
      <c r="B24" s="99">
        <v>13</v>
      </c>
      <c r="C24" s="86">
        <f t="shared" ca="1" si="0"/>
        <v>42</v>
      </c>
      <c r="D24" s="86">
        <f t="shared" ca="1" si="1"/>
        <v>1</v>
      </c>
      <c r="E24" s="106">
        <f t="shared" ca="1" si="2"/>
        <v>60</v>
      </c>
      <c r="O24" s="33">
        <v>0</v>
      </c>
    </row>
    <row r="25" spans="2:15" x14ac:dyDescent="0.3">
      <c r="B25" s="99">
        <v>14</v>
      </c>
      <c r="C25" s="86">
        <f t="shared" ca="1" si="0"/>
        <v>47</v>
      </c>
      <c r="D25" s="86">
        <f t="shared" ca="1" si="1"/>
        <v>0</v>
      </c>
      <c r="E25" s="106">
        <f t="shared" ca="1" si="2"/>
        <v>960</v>
      </c>
      <c r="O25" s="33">
        <v>0</v>
      </c>
    </row>
    <row r="26" spans="2:15" ht="21" thickBot="1" x14ac:dyDescent="0.35">
      <c r="B26" s="100">
        <v>15</v>
      </c>
      <c r="C26" s="107">
        <f t="shared" ca="1" si="0"/>
        <v>42</v>
      </c>
      <c r="D26" s="107">
        <f t="shared" ca="1" si="1"/>
        <v>0</v>
      </c>
      <c r="E26" s="108">
        <f t="shared" ca="1" si="2"/>
        <v>320</v>
      </c>
    </row>
    <row r="27" spans="2:15" x14ac:dyDescent="0.3">
      <c r="B27" s="95"/>
      <c r="C27" s="110"/>
      <c r="D27" s="110"/>
      <c r="E27" s="111"/>
    </row>
    <row r="28" spans="2:15" x14ac:dyDescent="0.3">
      <c r="B28" s="95"/>
      <c r="C28" s="110"/>
      <c r="D28" s="110"/>
      <c r="E28" s="111"/>
    </row>
    <row r="30" spans="2:15" ht="21" thickBot="1" x14ac:dyDescent="0.35">
      <c r="B30" s="88" t="s">
        <v>62</v>
      </c>
      <c r="C30" s="88"/>
      <c r="D30" s="88"/>
    </row>
    <row r="31" spans="2:15" ht="21" thickBot="1" x14ac:dyDescent="0.35">
      <c r="B31" s="89" t="s">
        <v>64</v>
      </c>
      <c r="C31" s="90"/>
      <c r="D31" s="90"/>
      <c r="E31" s="93">
        <f ca="1">AVERAGE(E12:E26)</f>
        <v>541.33333333333337</v>
      </c>
    </row>
    <row r="32" spans="2:15" ht="21" thickBot="1" x14ac:dyDescent="0.35">
      <c r="B32" s="91" t="s">
        <v>65</v>
      </c>
      <c r="C32" s="92"/>
      <c r="D32" s="92"/>
      <c r="E32" s="94">
        <f ca="1">(_xlfn.VAR.S(E12:E26))^(1/2)</f>
        <v>252.24326882330604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1"/>
  <sheetViews>
    <sheetView zoomScale="60" zoomScaleNormal="60" workbookViewId="0">
      <selection activeCell="Q17" sqref="Q17"/>
    </sheetView>
  </sheetViews>
  <sheetFormatPr defaultRowHeight="20.25" x14ac:dyDescent="0.3"/>
  <cols>
    <col min="1" max="1" width="9.140625" style="33"/>
    <col min="2" max="2" width="21" style="33" customWidth="1"/>
    <col min="3" max="3" width="18.5703125" style="33" customWidth="1"/>
    <col min="4" max="4" width="23.5703125" style="33" customWidth="1"/>
    <col min="5" max="5" width="11" style="33" customWidth="1"/>
    <col min="6" max="6" width="15" style="33" customWidth="1"/>
    <col min="7" max="7" width="22.7109375" style="33" customWidth="1"/>
    <col min="8" max="16384" width="9.140625" style="33"/>
  </cols>
  <sheetData>
    <row r="2" spans="2:11" ht="27.75" thickBot="1" x14ac:dyDescent="0.4">
      <c r="B2" s="125" t="s">
        <v>55</v>
      </c>
      <c r="C2" s="126"/>
      <c r="D2" s="126"/>
      <c r="E2" s="126"/>
      <c r="F2" s="126"/>
      <c r="G2" s="126"/>
    </row>
    <row r="3" spans="2:11" ht="27.75" thickBot="1" x14ac:dyDescent="0.4">
      <c r="B3" s="127" t="s">
        <v>79</v>
      </c>
      <c r="C3" s="128"/>
      <c r="D3" s="128"/>
      <c r="E3" s="128"/>
      <c r="F3" s="128"/>
      <c r="G3" s="121">
        <v>60</v>
      </c>
    </row>
    <row r="4" spans="2:11" ht="27.75" thickBot="1" x14ac:dyDescent="0.4">
      <c r="B4" s="127" t="s">
        <v>80</v>
      </c>
      <c r="C4" s="128"/>
      <c r="D4" s="128"/>
      <c r="E4" s="128"/>
      <c r="F4" s="128"/>
      <c r="G4" s="121">
        <v>160</v>
      </c>
    </row>
    <row r="5" spans="2:11" ht="27.75" thickBot="1" x14ac:dyDescent="0.4">
      <c r="B5" s="127" t="s">
        <v>81</v>
      </c>
      <c r="C5" s="128"/>
      <c r="D5" s="128"/>
      <c r="E5" s="128"/>
      <c r="F5" s="128"/>
      <c r="G5" s="122">
        <v>100</v>
      </c>
    </row>
    <row r="6" spans="2:11" ht="27.75" thickBot="1" x14ac:dyDescent="0.4">
      <c r="B6" s="127" t="s">
        <v>82</v>
      </c>
      <c r="C6" s="128"/>
      <c r="D6" s="128"/>
      <c r="E6" s="128"/>
      <c r="F6" s="128"/>
      <c r="G6" s="123">
        <v>100</v>
      </c>
    </row>
    <row r="7" spans="2:11" ht="33.75" thickBot="1" x14ac:dyDescent="0.6">
      <c r="B7" s="127" t="s">
        <v>83</v>
      </c>
      <c r="C7" s="128"/>
      <c r="D7" s="128"/>
      <c r="E7" s="128"/>
      <c r="F7" s="128"/>
      <c r="G7" s="123">
        <v>40</v>
      </c>
    </row>
    <row r="8" spans="2:11" ht="33.75" thickBot="1" x14ac:dyDescent="0.6">
      <c r="B8" s="127" t="s">
        <v>84</v>
      </c>
      <c r="C8" s="128"/>
      <c r="D8" s="128"/>
      <c r="E8" s="128"/>
      <c r="F8" s="128"/>
      <c r="G8" s="123">
        <v>5</v>
      </c>
    </row>
    <row r="9" spans="2:11" ht="33.75" thickBot="1" x14ac:dyDescent="0.6">
      <c r="B9" s="127" t="s">
        <v>85</v>
      </c>
      <c r="C9" s="128"/>
      <c r="D9" s="128"/>
      <c r="E9" s="128"/>
      <c r="F9" s="128"/>
      <c r="G9" s="121">
        <v>10</v>
      </c>
    </row>
    <row r="10" spans="2:11" ht="27.75" thickBot="1" x14ac:dyDescent="0.4">
      <c r="B10" s="127" t="s">
        <v>86</v>
      </c>
      <c r="C10" s="128"/>
      <c r="D10" s="128"/>
      <c r="E10" s="128"/>
      <c r="F10" s="128"/>
      <c r="G10" s="124">
        <v>5</v>
      </c>
    </row>
    <row r="12" spans="2:11" ht="21" thickBot="1" x14ac:dyDescent="0.35">
      <c r="B12" s="34" t="s">
        <v>58</v>
      </c>
    </row>
    <row r="13" spans="2:11" x14ac:dyDescent="0.3">
      <c r="B13" s="159" t="s">
        <v>73</v>
      </c>
      <c r="C13" s="161" t="s">
        <v>75</v>
      </c>
      <c r="D13" s="163" t="s">
        <v>76</v>
      </c>
      <c r="E13" s="165" t="s">
        <v>60</v>
      </c>
      <c r="F13" s="167" t="s">
        <v>77</v>
      </c>
      <c r="G13" s="154" t="s">
        <v>61</v>
      </c>
      <c r="H13" s="114"/>
      <c r="I13" s="114"/>
      <c r="J13" s="114"/>
      <c r="K13" s="114"/>
    </row>
    <row r="14" spans="2:11" x14ac:dyDescent="0.3">
      <c r="B14" s="160"/>
      <c r="C14" s="162"/>
      <c r="D14" s="164"/>
      <c r="E14" s="166"/>
      <c r="F14" s="168"/>
      <c r="G14" s="155"/>
      <c r="H14" s="114"/>
      <c r="I14" s="114"/>
      <c r="J14" s="114"/>
      <c r="K14" s="114"/>
    </row>
    <row r="15" spans="2:11" ht="30" x14ac:dyDescent="0.4">
      <c r="B15" s="115">
        <v>1</v>
      </c>
      <c r="C15" s="116">
        <f>G10-1</f>
        <v>4</v>
      </c>
      <c r="D15" s="119">
        <f>IF(C15&lt;&gt;0,G5,G5+G6)</f>
        <v>100</v>
      </c>
      <c r="E15" s="117">
        <f ca="1">INT($G$7+$G$8*((RAND()+RAND()+RAND()+RAND()+RAND()+RAND())+RAND()+RAND()+RAND()+RAND()+RAND()+RAND()-6))</f>
        <v>44</v>
      </c>
      <c r="F15" s="118">
        <f ca="1">IF(E15&lt;D15,D15-E15,0)</f>
        <v>56</v>
      </c>
      <c r="G15" s="129">
        <f ca="1">IF(C15&lt;&gt;0,IF(E15&lt;D15,$G$3*(D15-E15),$G$4*(E15-D15)),IF(E15&lt;D15,$G$3*(D15-E15)+$G$9*$G$6,$G$4*(E15-D15)+$G$9*$G$6))</f>
        <v>3360</v>
      </c>
    </row>
    <row r="16" spans="2:11" ht="30" x14ac:dyDescent="0.4">
      <c r="B16" s="115">
        <v>2</v>
      </c>
      <c r="C16" s="116">
        <f>IF(C15&lt;&gt;0,C15-1,$G$10-1)</f>
        <v>3</v>
      </c>
      <c r="D16" s="119">
        <f ca="1">IF(C16&lt;&gt;0,F15,F15+$G$6)</f>
        <v>56</v>
      </c>
      <c r="E16" s="117">
        <f t="shared" ref="E16:E29" ca="1" si="0">INT($G$7+$G$8*((RAND()+RAND()+RAND()+RAND()+RAND()+RAND())+RAND()+RAND()+RAND()+RAND()+RAND()+RAND()-6))</f>
        <v>49</v>
      </c>
      <c r="F16" s="118">
        <f t="shared" ref="F16:F29" ca="1" si="1">IF(E16&lt;D16,D16-E16,0)</f>
        <v>7</v>
      </c>
      <c r="G16" s="129">
        <f t="shared" ref="G16:G29" ca="1" si="2">IF(C16&lt;&gt;0,IF(E16&lt;D16,$G$3*(D16-E16),$G$4*(E16-D16)),IF(E16&lt;D16,$G$3*(D16-E16)+$G$9*$G$6,$G$4*(E16-D16)+$G$9*$G$6))</f>
        <v>420</v>
      </c>
    </row>
    <row r="17" spans="2:7" ht="30" x14ac:dyDescent="0.4">
      <c r="B17" s="115">
        <v>3</v>
      </c>
      <c r="C17" s="116">
        <f t="shared" ref="C17:C29" si="3">IF(C16&lt;&gt;0,C16-1,$G$10-1)</f>
        <v>2</v>
      </c>
      <c r="D17" s="119">
        <f t="shared" ref="D17:D29" ca="1" si="4">IF(C17&lt;&gt;0,F16,F16+$G$6)</f>
        <v>7</v>
      </c>
      <c r="E17" s="117">
        <f t="shared" ca="1" si="0"/>
        <v>48</v>
      </c>
      <c r="F17" s="118">
        <f t="shared" ca="1" si="1"/>
        <v>0</v>
      </c>
      <c r="G17" s="129">
        <f t="shared" ca="1" si="2"/>
        <v>6560</v>
      </c>
    </row>
    <row r="18" spans="2:7" ht="30" x14ac:dyDescent="0.4">
      <c r="B18" s="115">
        <v>4</v>
      </c>
      <c r="C18" s="116">
        <f t="shared" si="3"/>
        <v>1</v>
      </c>
      <c r="D18" s="119">
        <f t="shared" ca="1" si="4"/>
        <v>0</v>
      </c>
      <c r="E18" s="117">
        <f t="shared" ca="1" si="0"/>
        <v>30</v>
      </c>
      <c r="F18" s="118">
        <f t="shared" ca="1" si="1"/>
        <v>0</v>
      </c>
      <c r="G18" s="129">
        <f t="shared" ca="1" si="2"/>
        <v>4800</v>
      </c>
    </row>
    <row r="19" spans="2:7" ht="30" x14ac:dyDescent="0.4">
      <c r="B19" s="115">
        <v>5</v>
      </c>
      <c r="C19" s="116">
        <f t="shared" si="3"/>
        <v>0</v>
      </c>
      <c r="D19" s="119">
        <f t="shared" ca="1" si="4"/>
        <v>100</v>
      </c>
      <c r="E19" s="117">
        <f t="shared" ca="1" si="0"/>
        <v>35</v>
      </c>
      <c r="F19" s="118">
        <f t="shared" ca="1" si="1"/>
        <v>65</v>
      </c>
      <c r="G19" s="129">
        <f t="shared" ca="1" si="2"/>
        <v>4900</v>
      </c>
    </row>
    <row r="20" spans="2:7" ht="30" x14ac:dyDescent="0.4">
      <c r="B20" s="115">
        <v>6</v>
      </c>
      <c r="C20" s="116">
        <f t="shared" si="3"/>
        <v>4</v>
      </c>
      <c r="D20" s="119">
        <f t="shared" ca="1" si="4"/>
        <v>65</v>
      </c>
      <c r="E20" s="117">
        <f t="shared" ca="1" si="0"/>
        <v>43</v>
      </c>
      <c r="F20" s="118">
        <f t="shared" ca="1" si="1"/>
        <v>22</v>
      </c>
      <c r="G20" s="129">
        <f t="shared" ca="1" si="2"/>
        <v>1320</v>
      </c>
    </row>
    <row r="21" spans="2:7" ht="30" x14ac:dyDescent="0.4">
      <c r="B21" s="115">
        <v>7</v>
      </c>
      <c r="C21" s="116">
        <f t="shared" si="3"/>
        <v>3</v>
      </c>
      <c r="D21" s="119">
        <f t="shared" ca="1" si="4"/>
        <v>22</v>
      </c>
      <c r="E21" s="117">
        <f t="shared" ca="1" si="0"/>
        <v>45</v>
      </c>
      <c r="F21" s="118">
        <f t="shared" ca="1" si="1"/>
        <v>0</v>
      </c>
      <c r="G21" s="129">
        <f t="shared" ca="1" si="2"/>
        <v>3680</v>
      </c>
    </row>
    <row r="22" spans="2:7" ht="30" x14ac:dyDescent="0.4">
      <c r="B22" s="115">
        <v>8</v>
      </c>
      <c r="C22" s="116">
        <f t="shared" si="3"/>
        <v>2</v>
      </c>
      <c r="D22" s="119">
        <f t="shared" ca="1" si="4"/>
        <v>0</v>
      </c>
      <c r="E22" s="117">
        <f t="shared" ca="1" si="0"/>
        <v>44</v>
      </c>
      <c r="F22" s="118">
        <f t="shared" ca="1" si="1"/>
        <v>0</v>
      </c>
      <c r="G22" s="129">
        <f t="shared" ca="1" si="2"/>
        <v>7040</v>
      </c>
    </row>
    <row r="23" spans="2:7" ht="30" x14ac:dyDescent="0.4">
      <c r="B23" s="115">
        <v>9</v>
      </c>
      <c r="C23" s="116">
        <f t="shared" si="3"/>
        <v>1</v>
      </c>
      <c r="D23" s="119">
        <f t="shared" ca="1" si="4"/>
        <v>0</v>
      </c>
      <c r="E23" s="117">
        <f t="shared" ca="1" si="0"/>
        <v>36</v>
      </c>
      <c r="F23" s="118">
        <f t="shared" ca="1" si="1"/>
        <v>0</v>
      </c>
      <c r="G23" s="129">
        <f t="shared" ca="1" si="2"/>
        <v>5760</v>
      </c>
    </row>
    <row r="24" spans="2:7" ht="30" x14ac:dyDescent="0.4">
      <c r="B24" s="115">
        <v>10</v>
      </c>
      <c r="C24" s="116">
        <f t="shared" si="3"/>
        <v>0</v>
      </c>
      <c r="D24" s="119">
        <f t="shared" ca="1" si="4"/>
        <v>100</v>
      </c>
      <c r="E24" s="117">
        <f t="shared" ca="1" si="0"/>
        <v>36</v>
      </c>
      <c r="F24" s="118">
        <f t="shared" ca="1" si="1"/>
        <v>64</v>
      </c>
      <c r="G24" s="129">
        <f t="shared" ca="1" si="2"/>
        <v>4840</v>
      </c>
    </row>
    <row r="25" spans="2:7" ht="30" x14ac:dyDescent="0.4">
      <c r="B25" s="115">
        <v>11</v>
      </c>
      <c r="C25" s="116">
        <f t="shared" si="3"/>
        <v>4</v>
      </c>
      <c r="D25" s="119">
        <f t="shared" ca="1" si="4"/>
        <v>64</v>
      </c>
      <c r="E25" s="117">
        <f t="shared" ca="1" si="0"/>
        <v>49</v>
      </c>
      <c r="F25" s="118">
        <f t="shared" ca="1" si="1"/>
        <v>15</v>
      </c>
      <c r="G25" s="129">
        <f t="shared" ca="1" si="2"/>
        <v>900</v>
      </c>
    </row>
    <row r="26" spans="2:7" ht="30" x14ac:dyDescent="0.4">
      <c r="B26" s="115">
        <v>12</v>
      </c>
      <c r="C26" s="116">
        <f t="shared" si="3"/>
        <v>3</v>
      </c>
      <c r="D26" s="119">
        <f t="shared" ca="1" si="4"/>
        <v>15</v>
      </c>
      <c r="E26" s="117">
        <f t="shared" ca="1" si="0"/>
        <v>35</v>
      </c>
      <c r="F26" s="118">
        <f t="shared" ca="1" si="1"/>
        <v>0</v>
      </c>
      <c r="G26" s="129">
        <f t="shared" ca="1" si="2"/>
        <v>3200</v>
      </c>
    </row>
    <row r="27" spans="2:7" ht="30" x14ac:dyDescent="0.4">
      <c r="B27" s="115">
        <v>13</v>
      </c>
      <c r="C27" s="116">
        <f t="shared" si="3"/>
        <v>2</v>
      </c>
      <c r="D27" s="119">
        <f t="shared" ca="1" si="4"/>
        <v>0</v>
      </c>
      <c r="E27" s="117">
        <f t="shared" ca="1" si="0"/>
        <v>43</v>
      </c>
      <c r="F27" s="118">
        <f t="shared" ca="1" si="1"/>
        <v>0</v>
      </c>
      <c r="G27" s="129">
        <f t="shared" ca="1" si="2"/>
        <v>6880</v>
      </c>
    </row>
    <row r="28" spans="2:7" ht="30" x14ac:dyDescent="0.4">
      <c r="B28" s="115">
        <v>14</v>
      </c>
      <c r="C28" s="116">
        <f t="shared" si="3"/>
        <v>1</v>
      </c>
      <c r="D28" s="119">
        <f t="shared" ca="1" si="4"/>
        <v>0</v>
      </c>
      <c r="E28" s="117">
        <f t="shared" ca="1" si="0"/>
        <v>47</v>
      </c>
      <c r="F28" s="118">
        <f t="shared" ca="1" si="1"/>
        <v>0</v>
      </c>
      <c r="G28" s="129">
        <f t="shared" ca="1" si="2"/>
        <v>7520</v>
      </c>
    </row>
    <row r="29" spans="2:7" ht="30" x14ac:dyDescent="0.4">
      <c r="B29" s="115">
        <v>15</v>
      </c>
      <c r="C29" s="116">
        <f t="shared" si="3"/>
        <v>0</v>
      </c>
      <c r="D29" s="119">
        <f t="shared" ca="1" si="4"/>
        <v>100</v>
      </c>
      <c r="E29" s="117">
        <f t="shared" ca="1" si="0"/>
        <v>46</v>
      </c>
      <c r="F29" s="118">
        <f t="shared" ca="1" si="1"/>
        <v>54</v>
      </c>
      <c r="G29" s="129">
        <f t="shared" ca="1" si="2"/>
        <v>4240</v>
      </c>
    </row>
    <row r="30" spans="2:7" ht="33.75" thickBot="1" x14ac:dyDescent="0.5">
      <c r="B30" s="156" t="s">
        <v>78</v>
      </c>
      <c r="C30" s="157"/>
      <c r="D30" s="157"/>
      <c r="E30" s="157"/>
      <c r="F30" s="158"/>
      <c r="G30" s="120">
        <f ca="1">SUM(G15:G29)</f>
        <v>65420</v>
      </c>
    </row>
    <row r="31" spans="2:7" x14ac:dyDescent="0.3">
      <c r="B31" s="95"/>
      <c r="C31" s="110"/>
      <c r="D31" s="110"/>
      <c r="E31" s="111"/>
    </row>
  </sheetData>
  <mergeCells count="7">
    <mergeCell ref="G13:G14"/>
    <mergeCell ref="B30:F30"/>
    <mergeCell ref="B13:B14"/>
    <mergeCell ref="C13:C14"/>
    <mergeCell ref="D13:D14"/>
    <mergeCell ref="E13:E14"/>
    <mergeCell ref="F13:F1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1"/>
  <sheetViews>
    <sheetView tabSelected="1" zoomScale="60" zoomScaleNormal="60" workbookViewId="0">
      <selection activeCell="F15" sqref="F15"/>
    </sheetView>
  </sheetViews>
  <sheetFormatPr defaultRowHeight="20.25" x14ac:dyDescent="0.3"/>
  <cols>
    <col min="1" max="1" width="9.140625" style="33"/>
    <col min="2" max="2" width="21" style="33" customWidth="1"/>
    <col min="3" max="3" width="18.5703125" style="33" customWidth="1"/>
    <col min="4" max="4" width="23.5703125" style="33" customWidth="1"/>
    <col min="5" max="5" width="11" style="33" customWidth="1"/>
    <col min="6" max="6" width="15" style="33" customWidth="1"/>
    <col min="7" max="7" width="22.7109375" style="33" customWidth="1"/>
    <col min="8" max="16384" width="9.140625" style="33"/>
  </cols>
  <sheetData>
    <row r="2" spans="2:11" ht="27.75" thickBot="1" x14ac:dyDescent="0.4">
      <c r="B2" s="125" t="s">
        <v>55</v>
      </c>
      <c r="C2" s="126"/>
      <c r="D2" s="126"/>
      <c r="E2" s="126"/>
      <c r="F2" s="126"/>
      <c r="G2" s="126"/>
    </row>
    <row r="3" spans="2:11" ht="27.75" thickBot="1" x14ac:dyDescent="0.4">
      <c r="B3" s="127" t="s">
        <v>79</v>
      </c>
      <c r="C3" s="128"/>
      <c r="D3" s="128"/>
      <c r="E3" s="128"/>
      <c r="F3" s="128"/>
      <c r="G3" s="121">
        <v>60</v>
      </c>
    </row>
    <row r="4" spans="2:11" ht="27.75" thickBot="1" x14ac:dyDescent="0.4">
      <c r="B4" s="127" t="s">
        <v>80</v>
      </c>
      <c r="C4" s="128"/>
      <c r="D4" s="128"/>
      <c r="E4" s="128"/>
      <c r="F4" s="128"/>
      <c r="G4" s="121">
        <v>160</v>
      </c>
    </row>
    <row r="5" spans="2:11" ht="27.75" thickBot="1" x14ac:dyDescent="0.4">
      <c r="B5" s="127" t="s">
        <v>81</v>
      </c>
      <c r="C5" s="128"/>
      <c r="D5" s="128"/>
      <c r="E5" s="128"/>
      <c r="F5" s="128"/>
      <c r="G5" s="122">
        <v>100</v>
      </c>
    </row>
    <row r="6" spans="2:11" ht="27.75" thickBot="1" x14ac:dyDescent="0.4">
      <c r="B6" s="127" t="s">
        <v>82</v>
      </c>
      <c r="C6" s="128"/>
      <c r="D6" s="128"/>
      <c r="E6" s="128"/>
      <c r="F6" s="128"/>
      <c r="G6" s="123">
        <v>100</v>
      </c>
    </row>
    <row r="7" spans="2:11" ht="33.75" thickBot="1" x14ac:dyDescent="0.6">
      <c r="B7" s="127" t="s">
        <v>83</v>
      </c>
      <c r="C7" s="128"/>
      <c r="D7" s="128"/>
      <c r="E7" s="128"/>
      <c r="F7" s="128"/>
      <c r="G7" s="123">
        <v>40</v>
      </c>
    </row>
    <row r="8" spans="2:11" ht="33.75" thickBot="1" x14ac:dyDescent="0.6">
      <c r="B8" s="127" t="s">
        <v>84</v>
      </c>
      <c r="C8" s="128"/>
      <c r="D8" s="128"/>
      <c r="E8" s="128"/>
      <c r="F8" s="128"/>
      <c r="G8" s="123">
        <v>5</v>
      </c>
    </row>
    <row r="9" spans="2:11" ht="33.75" thickBot="1" x14ac:dyDescent="0.6">
      <c r="B9" s="127" t="s">
        <v>85</v>
      </c>
      <c r="C9" s="128"/>
      <c r="D9" s="128"/>
      <c r="E9" s="128"/>
      <c r="F9" s="128"/>
      <c r="G9" s="121">
        <v>10</v>
      </c>
    </row>
    <row r="10" spans="2:11" ht="27.75" thickBot="1" x14ac:dyDescent="0.4">
      <c r="B10" s="127" t="s">
        <v>87</v>
      </c>
      <c r="C10" s="128"/>
      <c r="D10" s="128"/>
      <c r="E10" s="128"/>
      <c r="F10" s="128"/>
      <c r="G10" s="124">
        <v>10</v>
      </c>
    </row>
    <row r="12" spans="2:11" ht="21" thickBot="1" x14ac:dyDescent="0.35">
      <c r="B12" s="34" t="s">
        <v>58</v>
      </c>
    </row>
    <row r="13" spans="2:11" x14ac:dyDescent="0.3">
      <c r="B13" s="159" t="s">
        <v>73</v>
      </c>
      <c r="C13" s="161" t="s">
        <v>75</v>
      </c>
      <c r="D13" s="163" t="s">
        <v>76</v>
      </c>
      <c r="E13" s="165" t="s">
        <v>60</v>
      </c>
      <c r="F13" s="167" t="s">
        <v>77</v>
      </c>
      <c r="G13" s="154" t="s">
        <v>61</v>
      </c>
      <c r="H13" s="114"/>
      <c r="I13" s="114"/>
      <c r="J13" s="114"/>
      <c r="K13" s="114"/>
    </row>
    <row r="14" spans="2:11" x14ac:dyDescent="0.3">
      <c r="B14" s="160"/>
      <c r="C14" s="162"/>
      <c r="D14" s="164"/>
      <c r="E14" s="166"/>
      <c r="F14" s="168"/>
      <c r="G14" s="155"/>
      <c r="H14" s="114"/>
      <c r="I14" s="114"/>
      <c r="J14" s="114"/>
      <c r="K14" s="114"/>
    </row>
    <row r="15" spans="2:11" ht="30" x14ac:dyDescent="0.4">
      <c r="B15" s="115">
        <v>1</v>
      </c>
      <c r="C15" s="116">
        <f>IF(G5&gt;G10,0,1)</f>
        <v>0</v>
      </c>
      <c r="D15" s="119">
        <f>IF(C15=0,G5,G5+G6)</f>
        <v>100</v>
      </c>
      <c r="E15" s="117">
        <f ca="1">INT($G$7+$G$8*((RAND()+RAND()+RAND()+RAND()+RAND()+RAND())+RAND()+RAND()+RAND()+RAND()+RAND()+RAND()-6))</f>
        <v>42</v>
      </c>
      <c r="F15" s="118">
        <f ca="1">IF(E15&lt;D15,D15-E15,0)</f>
        <v>58</v>
      </c>
      <c r="G15" s="130">
        <f ca="1">IF(C15=0,IF(E15&lt;D15,$G$3*(D15-E15),$G$4*(E15-D15)), IF(E15&lt;D15,$G$3*(D15-E15)+$G$9*$G$6,$G$4*(E15-D15)+$G$9*$G$6))</f>
        <v>3480</v>
      </c>
    </row>
    <row r="16" spans="2:11" ht="30" x14ac:dyDescent="0.4">
      <c r="B16" s="115">
        <v>2</v>
      </c>
      <c r="C16" s="116">
        <f ca="1">IF(F15&gt;$G$10,0,1)</f>
        <v>0</v>
      </c>
      <c r="D16" s="119">
        <f ca="1">IF(C16=0,F15,F15+$G$6)</f>
        <v>58</v>
      </c>
      <c r="E16" s="117">
        <f t="shared" ref="E16:E29" ca="1" si="0">INT($G$7+$G$8*((RAND()+RAND()+RAND()+RAND()+RAND()+RAND())+RAND()+RAND()+RAND()+RAND()+RAND()+RAND()-6))</f>
        <v>33</v>
      </c>
      <c r="F16" s="118">
        <f t="shared" ref="F16:F29" ca="1" si="1">IF(E16&lt;D16,D16-E16,0)</f>
        <v>25</v>
      </c>
      <c r="G16" s="130">
        <f t="shared" ref="G16:G29" ca="1" si="2">IF(C16=0,IF(E16&lt;D16,$G$3*(D16-E16),$G$4*(E16-D16)), IF(E16&lt;D16,$G$3*(D16-E16)+$G$9*$G$6,$G$4*(E16-D16)+$G$9*$G$6))</f>
        <v>1500</v>
      </c>
    </row>
    <row r="17" spans="2:7" ht="30" x14ac:dyDescent="0.4">
      <c r="B17" s="115">
        <v>3</v>
      </c>
      <c r="C17" s="116">
        <f t="shared" ref="C17:C29" ca="1" si="3">IF(F16&gt;$G$10,0,1)</f>
        <v>0</v>
      </c>
      <c r="D17" s="119">
        <f t="shared" ref="D17:D29" ca="1" si="4">IF(C17=0,F16,F16+$G$6)</f>
        <v>25</v>
      </c>
      <c r="E17" s="117">
        <f t="shared" ca="1" si="0"/>
        <v>45</v>
      </c>
      <c r="F17" s="118">
        <f t="shared" ca="1" si="1"/>
        <v>0</v>
      </c>
      <c r="G17" s="130">
        <f t="shared" ca="1" si="2"/>
        <v>3200</v>
      </c>
    </row>
    <row r="18" spans="2:7" ht="30" x14ac:dyDescent="0.4">
      <c r="B18" s="115">
        <v>4</v>
      </c>
      <c r="C18" s="116">
        <f t="shared" ca="1" si="3"/>
        <v>1</v>
      </c>
      <c r="D18" s="119">
        <f t="shared" ca="1" si="4"/>
        <v>100</v>
      </c>
      <c r="E18" s="117">
        <f t="shared" ca="1" si="0"/>
        <v>30</v>
      </c>
      <c r="F18" s="118">
        <f t="shared" ca="1" si="1"/>
        <v>70</v>
      </c>
      <c r="G18" s="130">
        <f t="shared" ca="1" si="2"/>
        <v>5200</v>
      </c>
    </row>
    <row r="19" spans="2:7" ht="30" x14ac:dyDescent="0.4">
      <c r="B19" s="115">
        <v>5</v>
      </c>
      <c r="C19" s="116">
        <f t="shared" ca="1" si="3"/>
        <v>0</v>
      </c>
      <c r="D19" s="119">
        <f t="shared" ca="1" si="4"/>
        <v>70</v>
      </c>
      <c r="E19" s="117">
        <f t="shared" ca="1" si="0"/>
        <v>40</v>
      </c>
      <c r="F19" s="118">
        <f t="shared" ca="1" si="1"/>
        <v>30</v>
      </c>
      <c r="G19" s="130">
        <f t="shared" ca="1" si="2"/>
        <v>1800</v>
      </c>
    </row>
    <row r="20" spans="2:7" ht="30" x14ac:dyDescent="0.4">
      <c r="B20" s="115">
        <v>6</v>
      </c>
      <c r="C20" s="116">
        <f t="shared" ca="1" si="3"/>
        <v>0</v>
      </c>
      <c r="D20" s="119">
        <f t="shared" ca="1" si="4"/>
        <v>30</v>
      </c>
      <c r="E20" s="117">
        <f t="shared" ca="1" si="0"/>
        <v>44</v>
      </c>
      <c r="F20" s="118">
        <f t="shared" ca="1" si="1"/>
        <v>0</v>
      </c>
      <c r="G20" s="130">
        <f t="shared" ca="1" si="2"/>
        <v>2240</v>
      </c>
    </row>
    <row r="21" spans="2:7" ht="30" x14ac:dyDescent="0.4">
      <c r="B21" s="115">
        <v>7</v>
      </c>
      <c r="C21" s="116">
        <f t="shared" ca="1" si="3"/>
        <v>1</v>
      </c>
      <c r="D21" s="119">
        <f t="shared" ca="1" si="4"/>
        <v>100</v>
      </c>
      <c r="E21" s="117">
        <f t="shared" ca="1" si="0"/>
        <v>47</v>
      </c>
      <c r="F21" s="118">
        <f t="shared" ca="1" si="1"/>
        <v>53</v>
      </c>
      <c r="G21" s="130">
        <f t="shared" ca="1" si="2"/>
        <v>4180</v>
      </c>
    </row>
    <row r="22" spans="2:7" ht="30" x14ac:dyDescent="0.4">
      <c r="B22" s="115">
        <v>8</v>
      </c>
      <c r="C22" s="116">
        <f t="shared" ca="1" si="3"/>
        <v>0</v>
      </c>
      <c r="D22" s="119">
        <f t="shared" ca="1" si="4"/>
        <v>53</v>
      </c>
      <c r="E22" s="117">
        <f t="shared" ca="1" si="0"/>
        <v>45</v>
      </c>
      <c r="F22" s="118">
        <f t="shared" ca="1" si="1"/>
        <v>8</v>
      </c>
      <c r="G22" s="130">
        <f t="shared" ca="1" si="2"/>
        <v>480</v>
      </c>
    </row>
    <row r="23" spans="2:7" ht="30" x14ac:dyDescent="0.4">
      <c r="B23" s="115">
        <v>9</v>
      </c>
      <c r="C23" s="116">
        <f t="shared" ca="1" si="3"/>
        <v>1</v>
      </c>
      <c r="D23" s="119">
        <f t="shared" ca="1" si="4"/>
        <v>108</v>
      </c>
      <c r="E23" s="117">
        <f t="shared" ca="1" si="0"/>
        <v>33</v>
      </c>
      <c r="F23" s="118">
        <f t="shared" ca="1" si="1"/>
        <v>75</v>
      </c>
      <c r="G23" s="130">
        <f t="shared" ca="1" si="2"/>
        <v>5500</v>
      </c>
    </row>
    <row r="24" spans="2:7" ht="30" x14ac:dyDescent="0.4">
      <c r="B24" s="115">
        <v>10</v>
      </c>
      <c r="C24" s="116">
        <f t="shared" ca="1" si="3"/>
        <v>0</v>
      </c>
      <c r="D24" s="119">
        <f t="shared" ca="1" si="4"/>
        <v>75</v>
      </c>
      <c r="E24" s="117">
        <f t="shared" ca="1" si="0"/>
        <v>37</v>
      </c>
      <c r="F24" s="118">
        <f t="shared" ca="1" si="1"/>
        <v>38</v>
      </c>
      <c r="G24" s="130">
        <f t="shared" ca="1" si="2"/>
        <v>2280</v>
      </c>
    </row>
    <row r="25" spans="2:7" ht="30" x14ac:dyDescent="0.4">
      <c r="B25" s="115">
        <v>11</v>
      </c>
      <c r="C25" s="116">
        <f t="shared" ca="1" si="3"/>
        <v>0</v>
      </c>
      <c r="D25" s="119">
        <f t="shared" ca="1" si="4"/>
        <v>38</v>
      </c>
      <c r="E25" s="117">
        <f t="shared" ca="1" si="0"/>
        <v>28</v>
      </c>
      <c r="F25" s="118">
        <f t="shared" ca="1" si="1"/>
        <v>10</v>
      </c>
      <c r="G25" s="130">
        <f t="shared" ca="1" si="2"/>
        <v>600</v>
      </c>
    </row>
    <row r="26" spans="2:7" ht="30" x14ac:dyDescent="0.4">
      <c r="B26" s="115">
        <v>12</v>
      </c>
      <c r="C26" s="116">
        <f t="shared" ca="1" si="3"/>
        <v>1</v>
      </c>
      <c r="D26" s="119">
        <f t="shared" ca="1" si="4"/>
        <v>110</v>
      </c>
      <c r="E26" s="117">
        <f t="shared" ca="1" si="0"/>
        <v>45</v>
      </c>
      <c r="F26" s="118">
        <f t="shared" ca="1" si="1"/>
        <v>65</v>
      </c>
      <c r="G26" s="130">
        <f t="shared" ca="1" si="2"/>
        <v>4900</v>
      </c>
    </row>
    <row r="27" spans="2:7" ht="30" x14ac:dyDescent="0.4">
      <c r="B27" s="115">
        <v>13</v>
      </c>
      <c r="C27" s="116">
        <f t="shared" ca="1" si="3"/>
        <v>0</v>
      </c>
      <c r="D27" s="119">
        <f t="shared" ca="1" si="4"/>
        <v>65</v>
      </c>
      <c r="E27" s="117">
        <f t="shared" ca="1" si="0"/>
        <v>29</v>
      </c>
      <c r="F27" s="118">
        <f t="shared" ca="1" si="1"/>
        <v>36</v>
      </c>
      <c r="G27" s="130">
        <f t="shared" ca="1" si="2"/>
        <v>2160</v>
      </c>
    </row>
    <row r="28" spans="2:7" ht="30" x14ac:dyDescent="0.4">
      <c r="B28" s="115">
        <v>14</v>
      </c>
      <c r="C28" s="116">
        <f t="shared" ca="1" si="3"/>
        <v>0</v>
      </c>
      <c r="D28" s="119">
        <f t="shared" ca="1" si="4"/>
        <v>36</v>
      </c>
      <c r="E28" s="117">
        <f t="shared" ca="1" si="0"/>
        <v>30</v>
      </c>
      <c r="F28" s="118">
        <f t="shared" ca="1" si="1"/>
        <v>6</v>
      </c>
      <c r="G28" s="130">
        <f t="shared" ca="1" si="2"/>
        <v>360</v>
      </c>
    </row>
    <row r="29" spans="2:7" ht="30" x14ac:dyDescent="0.4">
      <c r="B29" s="115">
        <v>15</v>
      </c>
      <c r="C29" s="116">
        <f t="shared" ca="1" si="3"/>
        <v>1</v>
      </c>
      <c r="D29" s="119">
        <f t="shared" ca="1" si="4"/>
        <v>106</v>
      </c>
      <c r="E29" s="117">
        <f t="shared" ca="1" si="0"/>
        <v>44</v>
      </c>
      <c r="F29" s="118">
        <f t="shared" ca="1" si="1"/>
        <v>62</v>
      </c>
      <c r="G29" s="130">
        <f t="shared" ca="1" si="2"/>
        <v>4720</v>
      </c>
    </row>
    <row r="30" spans="2:7" ht="33.75" thickBot="1" x14ac:dyDescent="0.5">
      <c r="B30" s="156" t="s">
        <v>78</v>
      </c>
      <c r="C30" s="157"/>
      <c r="D30" s="157"/>
      <c r="E30" s="157"/>
      <c r="F30" s="158"/>
      <c r="G30" s="120">
        <f ca="1">SUM(G15:G29)</f>
        <v>42600</v>
      </c>
    </row>
    <row r="31" spans="2:7" x14ac:dyDescent="0.3">
      <c r="B31" s="95"/>
      <c r="C31" s="110"/>
      <c r="D31" s="110"/>
      <c r="E31" s="111"/>
    </row>
  </sheetData>
  <mergeCells count="7">
    <mergeCell ref="G13:G14"/>
    <mergeCell ref="B30:F30"/>
    <mergeCell ref="B13:B14"/>
    <mergeCell ref="C13:C14"/>
    <mergeCell ref="D13:D14"/>
    <mergeCell ref="E13:E14"/>
    <mergeCell ref="F13:F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Лист1</vt:lpstr>
      <vt:lpstr>Лист1 (3)</vt:lpstr>
      <vt:lpstr>Лист1 (2)</vt:lpstr>
      <vt:lpstr>_2_канала</vt:lpstr>
      <vt:lpstr>огр_вр_ожид</vt:lpstr>
      <vt:lpstr>СМО_очередь</vt:lpstr>
      <vt:lpstr>СМО_групп_обсл</vt:lpstr>
      <vt:lpstr>ЗУЗ_1</vt:lpstr>
      <vt:lpstr>ЗУЗ_1 (2)</vt:lpstr>
      <vt:lpstr>ЗУЗ_ПоискРеш</vt:lpstr>
      <vt:lpstr>ЗУЗ_произв_сист</vt:lpstr>
      <vt:lpstr>ЗУЗ_период_подача</vt:lpstr>
      <vt:lpstr>ЗУЗ_пороговая_подача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2020-01-10T19:40:21Z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85731195-d4e9-4fd6-a291-6b88de6a5eb5</vt:lpwstr>
  </property>
</Properties>
</file>