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705" yWindow="-15" windowWidth="9510" windowHeight="12000" firstSheet="3" activeTab="7"/>
  </bookViews>
  <sheets>
    <sheet name="нормальный" sheetId="2" r:id="rId1"/>
    <sheet name="равномерный" sheetId="3" r:id="rId2"/>
    <sheet name="экспоненциальный" sheetId="4" r:id="rId3"/>
    <sheet name="биномиальный" sheetId="5" r:id="rId4"/>
    <sheet name="Пуассон" sheetId="6" r:id="rId5"/>
    <sheet name="геометрическое" sheetId="7" r:id="rId6"/>
    <sheet name="гипер_геометрическое" sheetId="9" r:id="rId7"/>
    <sheet name="Лист1" sheetId="10" r:id="rId8"/>
  </sheets>
  <calcPr calcId="145621"/>
</workbook>
</file>

<file path=xl/calcChain.xml><?xml version="1.0" encoding="utf-8"?>
<calcChain xmlns="http://schemas.openxmlformats.org/spreadsheetml/2006/main">
  <c r="C11" i="9" l="1"/>
  <c r="D11" i="9"/>
  <c r="E11" i="9"/>
  <c r="F11" i="9"/>
  <c r="G11" i="9"/>
  <c r="H11" i="9"/>
  <c r="B11" i="9"/>
  <c r="B10" i="9"/>
  <c r="C10" i="9"/>
  <c r="D10" i="9"/>
  <c r="E10" i="9"/>
  <c r="F10" i="9"/>
  <c r="G10" i="9"/>
  <c r="H10" i="9"/>
  <c r="C6" i="9"/>
  <c r="D6" i="9"/>
  <c r="E6" i="9"/>
  <c r="F6" i="9"/>
  <c r="G6" i="9"/>
  <c r="H6" i="9"/>
  <c r="C7" i="9"/>
  <c r="D7" i="9"/>
  <c r="E7" i="9"/>
  <c r="F7" i="9"/>
  <c r="G7" i="9"/>
  <c r="H7" i="9"/>
  <c r="C8" i="9"/>
  <c r="C9" i="9" s="1"/>
  <c r="D8" i="9"/>
  <c r="E8" i="9"/>
  <c r="F8" i="9"/>
  <c r="F9" i="9" s="1"/>
  <c r="G8" i="9"/>
  <c r="H8" i="9"/>
  <c r="G9" i="9"/>
  <c r="B15" i="9"/>
  <c r="B14" i="9"/>
  <c r="B8" i="9"/>
  <c r="B9" i="9" s="1"/>
  <c r="B7" i="9"/>
  <c r="B6" i="9"/>
  <c r="C2" i="7"/>
  <c r="B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L2" i="6"/>
  <c r="L21" i="6"/>
  <c r="L2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B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C2" i="6"/>
  <c r="E9" i="9" l="1"/>
  <c r="B13" i="9" s="1"/>
  <c r="H9" i="9"/>
  <c r="D9" i="9"/>
  <c r="B3" i="7"/>
  <c r="B11" i="7"/>
  <c r="B6" i="7"/>
  <c r="B7" i="7"/>
  <c r="B19" i="7"/>
  <c r="B15" i="7"/>
  <c r="B18" i="7"/>
  <c r="B14" i="7"/>
  <c r="B10" i="7"/>
  <c r="B21" i="7"/>
  <c r="B17" i="7"/>
  <c r="B13" i="7"/>
  <c r="B9" i="7"/>
  <c r="B5" i="7"/>
  <c r="B20" i="7"/>
  <c r="B16" i="7"/>
  <c r="B12" i="7"/>
  <c r="B8" i="7"/>
  <c r="B4" i="7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J2" i="4"/>
  <c r="E2" i="4"/>
  <c r="C3" i="4" s="1"/>
  <c r="C20" i="4" l="1"/>
  <c r="C18" i="4"/>
  <c r="C16" i="4"/>
  <c r="K19" i="4"/>
  <c r="K15" i="4"/>
  <c r="K11" i="4"/>
  <c r="K7" i="4"/>
  <c r="K3" i="4"/>
  <c r="J17" i="4"/>
  <c r="J13" i="4"/>
  <c r="J9" i="4"/>
  <c r="J5" i="4"/>
  <c r="B20" i="4"/>
  <c r="B18" i="4"/>
  <c r="B16" i="4"/>
  <c r="K18" i="4"/>
  <c r="K14" i="4"/>
  <c r="K10" i="4"/>
  <c r="K6" i="4"/>
  <c r="J20" i="4"/>
  <c r="J16" i="4"/>
  <c r="J12" i="4"/>
  <c r="J8" i="4"/>
  <c r="J4" i="4"/>
  <c r="C19" i="4"/>
  <c r="C17" i="4"/>
  <c r="K2" i="4"/>
  <c r="K17" i="4"/>
  <c r="K13" i="4"/>
  <c r="K9" i="4"/>
  <c r="K5" i="4"/>
  <c r="J19" i="4"/>
  <c r="J15" i="4"/>
  <c r="J11" i="4"/>
  <c r="J7" i="4"/>
  <c r="J3" i="4"/>
  <c r="B19" i="4"/>
  <c r="B17" i="4"/>
  <c r="K20" i="4"/>
  <c r="K16" i="4"/>
  <c r="K12" i="4"/>
  <c r="K8" i="4"/>
  <c r="K4" i="4"/>
  <c r="J18" i="4"/>
  <c r="J14" i="4"/>
  <c r="J10" i="4"/>
  <c r="J6" i="4"/>
  <c r="B2" i="4"/>
  <c r="B12" i="4"/>
  <c r="B8" i="4"/>
  <c r="B4" i="4"/>
  <c r="C6" i="4"/>
  <c r="C5" i="4"/>
  <c r="C14" i="4"/>
  <c r="C10" i="4"/>
  <c r="B15" i="4"/>
  <c r="B11" i="4"/>
  <c r="B7" i="4"/>
  <c r="B3" i="4"/>
  <c r="C13" i="4"/>
  <c r="C9" i="4"/>
  <c r="B14" i="4"/>
  <c r="B10" i="4"/>
  <c r="B6" i="4"/>
  <c r="C2" i="4"/>
  <c r="C12" i="4"/>
  <c r="C8" i="4"/>
  <c r="C4" i="4"/>
  <c r="B13" i="4"/>
  <c r="B9" i="4"/>
  <c r="B5" i="4"/>
  <c r="C15" i="4"/>
  <c r="C11" i="4"/>
  <c r="C7" i="4"/>
  <c r="B3" i="3"/>
  <c r="C3" i="3"/>
  <c r="C4" i="3"/>
  <c r="C6" i="3"/>
  <c r="C7" i="3"/>
  <c r="C8" i="3"/>
  <c r="C9" i="3"/>
  <c r="C10" i="3"/>
  <c r="C11" i="3"/>
  <c r="C12" i="3"/>
  <c r="C13" i="3"/>
  <c r="C14" i="3"/>
  <c r="C15" i="3"/>
  <c r="C5" i="3"/>
  <c r="B4" i="3"/>
  <c r="B5" i="3"/>
  <c r="B6" i="3"/>
  <c r="B7" i="3"/>
  <c r="B8" i="3"/>
  <c r="B9" i="3"/>
  <c r="B10" i="3"/>
  <c r="B11" i="3"/>
  <c r="B12" i="3"/>
  <c r="B13" i="3"/>
  <c r="B14" i="3"/>
  <c r="B15" i="3"/>
</calcChain>
</file>

<file path=xl/sharedStrings.xml><?xml version="1.0" encoding="utf-8"?>
<sst xmlns="http://schemas.openxmlformats.org/spreadsheetml/2006/main" count="46" uniqueCount="29">
  <si>
    <t>x</t>
  </si>
  <si>
    <t>f(x)</t>
  </si>
  <si>
    <t>F(x)</t>
  </si>
  <si>
    <t>a=</t>
  </si>
  <si>
    <t>b=</t>
  </si>
  <si>
    <t xml:space="preserve">x </t>
  </si>
  <si>
    <t>𝛗(x)</t>
  </si>
  <si>
    <t>Отсюда λ =</t>
  </si>
  <si>
    <r>
      <t>М(Х)=1/</t>
    </r>
    <r>
      <rPr>
        <b/>
        <i/>
        <sz val="14"/>
        <color rgb="FF000000"/>
        <rFont val="Times New Roman"/>
        <family val="1"/>
        <charset val="204"/>
      </rPr>
      <t xml:space="preserve"> λ</t>
    </r>
    <r>
      <rPr>
        <b/>
        <sz val="14"/>
        <color rgb="FF000000"/>
        <rFont val="Times New Roman"/>
        <family val="1"/>
        <charset val="204"/>
      </rPr>
      <t xml:space="preserve"> =</t>
    </r>
  </si>
  <si>
    <t>𝛅=</t>
  </si>
  <si>
    <t>x    (число успехов)</t>
  </si>
  <si>
    <r>
      <t>Число испытаний</t>
    </r>
    <r>
      <rPr>
        <b/>
        <sz val="24"/>
        <color theme="1"/>
        <rFont val="Times New Roman"/>
        <family val="1"/>
        <charset val="204"/>
      </rPr>
      <t xml:space="preserve"> n=</t>
    </r>
  </si>
  <si>
    <r>
      <t>Вероятность успеха</t>
    </r>
    <r>
      <rPr>
        <b/>
        <sz val="20"/>
        <color theme="1"/>
        <rFont val="Times New Roman"/>
        <family val="1"/>
        <charset val="204"/>
      </rPr>
      <t xml:space="preserve"> P=</t>
    </r>
  </si>
  <si>
    <r>
      <t>Среднее</t>
    </r>
    <r>
      <rPr>
        <b/>
        <sz val="24"/>
        <color theme="1"/>
        <rFont val="Times New Roman"/>
        <family val="1"/>
        <charset val="204"/>
      </rPr>
      <t xml:space="preserve"> </t>
    </r>
    <r>
      <rPr>
        <b/>
        <sz val="24"/>
        <color theme="1"/>
        <rFont val="Calibri"/>
        <family val="2"/>
        <charset val="204"/>
      </rPr>
      <t>λ</t>
    </r>
    <r>
      <rPr>
        <b/>
        <sz val="24"/>
        <color theme="1"/>
        <rFont val="Times New Roman"/>
        <family val="1"/>
        <charset val="204"/>
      </rPr>
      <t>=</t>
    </r>
  </si>
  <si>
    <t>m               (к-во событий)</t>
  </si>
  <si>
    <r>
      <rPr>
        <b/>
        <sz val="24"/>
        <color theme="1"/>
        <rFont val="Calibri"/>
        <family val="2"/>
        <charset val="204"/>
      </rPr>
      <t>p</t>
    </r>
    <r>
      <rPr>
        <b/>
        <sz val="24"/>
        <color theme="1"/>
        <rFont val="Times New Roman"/>
        <family val="1"/>
        <charset val="204"/>
      </rPr>
      <t>=</t>
    </r>
  </si>
  <si>
    <r>
      <rPr>
        <b/>
        <i/>
        <sz val="26"/>
        <color rgb="FFFF0000"/>
        <rFont val="Times New Roman"/>
        <family val="1"/>
        <charset val="204"/>
      </rPr>
      <t>P(X=m) = pq</t>
    </r>
    <r>
      <rPr>
        <b/>
        <i/>
        <vertAlign val="superscript"/>
        <sz val="26"/>
        <color rgb="FFFF0000"/>
        <rFont val="Times New Roman"/>
        <family val="1"/>
        <charset val="204"/>
      </rPr>
      <t>m-1</t>
    </r>
  </si>
  <si>
    <t>M(X) = nM/N =</t>
  </si>
  <si>
    <r>
      <t>Общее число вариантов заполнения карточек C</t>
    </r>
    <r>
      <rPr>
        <vertAlign val="subscript"/>
        <sz val="14"/>
        <color indexed="8"/>
        <rFont val="Times New Roman"/>
        <family val="1"/>
        <charset val="204"/>
      </rPr>
      <t>N</t>
    </r>
    <r>
      <rPr>
        <vertAlign val="superscript"/>
        <sz val="14"/>
        <color indexed="8"/>
        <rFont val="Times New Roman"/>
        <family val="1"/>
        <charset val="204"/>
      </rPr>
      <t>n</t>
    </r>
    <r>
      <rPr>
        <sz val="14"/>
        <color indexed="8"/>
        <rFont val="Times New Roman"/>
        <family val="1"/>
        <charset val="204"/>
      </rPr>
      <t xml:space="preserve"> = </t>
    </r>
  </si>
  <si>
    <r>
      <t>число способов выбора m номеров из общего числа выигрышных номеров C</t>
    </r>
    <r>
      <rPr>
        <vertAlign val="subscript"/>
        <sz val="14"/>
        <color indexed="8"/>
        <rFont val="Times New Roman"/>
        <family val="1"/>
        <charset val="204"/>
      </rPr>
      <t>M</t>
    </r>
    <r>
      <rPr>
        <vertAlign val="superscript"/>
        <sz val="14"/>
        <color indexed="8"/>
        <rFont val="Times New Roman"/>
        <family val="1"/>
        <charset val="204"/>
      </rPr>
      <t>m</t>
    </r>
  </si>
  <si>
    <r>
      <t>число комбинаций  n-m невыигравших номеров из N-M видов спорта C</t>
    </r>
    <r>
      <rPr>
        <vertAlign val="subscript"/>
        <sz val="14"/>
        <color indexed="8"/>
        <rFont val="Times New Roman"/>
        <family val="1"/>
        <charset val="204"/>
      </rPr>
      <t>N-M</t>
    </r>
    <r>
      <rPr>
        <sz val="14"/>
        <color indexed="8"/>
        <rFont val="Times New Roman"/>
        <family val="1"/>
        <charset val="204"/>
      </rPr>
      <t xml:space="preserve"> </t>
    </r>
    <r>
      <rPr>
        <vertAlign val="superscript"/>
        <sz val="14"/>
        <color indexed="8"/>
        <rFont val="Times New Roman"/>
        <family val="1"/>
        <charset val="204"/>
      </rPr>
      <t>n-m</t>
    </r>
  </si>
  <si>
    <r>
      <t>P(A) =C</t>
    </r>
    <r>
      <rPr>
        <b/>
        <i/>
        <vertAlign val="subscript"/>
        <sz val="18"/>
        <color indexed="8"/>
        <rFont val="Times New Roman"/>
        <family val="1"/>
        <charset val="204"/>
      </rPr>
      <t>M</t>
    </r>
    <r>
      <rPr>
        <b/>
        <i/>
        <vertAlign val="superscript"/>
        <sz val="18"/>
        <color indexed="8"/>
        <rFont val="Times New Roman"/>
        <family val="1"/>
        <charset val="204"/>
      </rPr>
      <t>m</t>
    </r>
    <r>
      <rPr>
        <b/>
        <i/>
        <sz val="18"/>
        <color indexed="8"/>
        <rFont val="Times New Roman"/>
        <family val="1"/>
        <charset val="204"/>
      </rPr>
      <t>* C</t>
    </r>
    <r>
      <rPr>
        <b/>
        <i/>
        <vertAlign val="subscript"/>
        <sz val="18"/>
        <color indexed="8"/>
        <rFont val="Times New Roman"/>
        <family val="1"/>
        <charset val="204"/>
      </rPr>
      <t>N-M</t>
    </r>
    <r>
      <rPr>
        <b/>
        <i/>
        <sz val="18"/>
        <color indexed="8"/>
        <rFont val="Times New Roman"/>
        <family val="1"/>
        <charset val="204"/>
      </rPr>
      <t xml:space="preserve"> </t>
    </r>
    <r>
      <rPr>
        <b/>
        <i/>
        <vertAlign val="superscript"/>
        <sz val="18"/>
        <color indexed="8"/>
        <rFont val="Times New Roman"/>
        <family val="1"/>
        <charset val="204"/>
      </rPr>
      <t>n-m</t>
    </r>
    <r>
      <rPr>
        <b/>
        <i/>
        <sz val="18"/>
        <color indexed="8"/>
        <rFont val="Times New Roman"/>
        <family val="1"/>
        <charset val="204"/>
      </rPr>
      <t>/C</t>
    </r>
    <r>
      <rPr>
        <b/>
        <i/>
        <vertAlign val="subscript"/>
        <sz val="18"/>
        <color indexed="8"/>
        <rFont val="Times New Roman"/>
        <family val="1"/>
        <charset val="204"/>
      </rPr>
      <t>N</t>
    </r>
    <r>
      <rPr>
        <b/>
        <i/>
        <vertAlign val="superscript"/>
        <sz val="18"/>
        <color indexed="8"/>
        <rFont val="Times New Roman"/>
        <family val="1"/>
        <charset val="204"/>
      </rPr>
      <t>n</t>
    </r>
    <r>
      <rPr>
        <b/>
        <i/>
        <sz val="18"/>
        <color indexed="8"/>
        <rFont val="Times New Roman"/>
        <family val="1"/>
        <charset val="204"/>
      </rPr>
      <t xml:space="preserve"> =</t>
    </r>
  </si>
  <si>
    <r>
      <t>P(3</t>
    </r>
    <r>
      <rPr>
        <b/>
        <i/>
        <sz val="14"/>
        <color indexed="8"/>
        <rFont val="Calibri"/>
        <family val="2"/>
        <charset val="204"/>
      </rPr>
      <t>≤X≤6)= p(X</t>
    </r>
    <r>
      <rPr>
        <b/>
        <i/>
        <vertAlign val="subscript"/>
        <sz val="14"/>
        <color indexed="8"/>
        <rFont val="Calibri"/>
        <family val="2"/>
        <charset val="204"/>
      </rPr>
      <t>3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4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5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6</t>
    </r>
    <r>
      <rPr>
        <b/>
        <i/>
        <sz val="14"/>
        <color indexed="8"/>
        <rFont val="Calibri"/>
        <family val="2"/>
        <charset val="204"/>
      </rPr>
      <t xml:space="preserve">) = </t>
    </r>
  </si>
  <si>
    <r>
      <t>число видов спорта</t>
    </r>
    <r>
      <rPr>
        <b/>
        <sz val="18"/>
        <color theme="1"/>
        <rFont val="Times New Roman"/>
        <family val="1"/>
        <charset val="204"/>
      </rPr>
      <t xml:space="preserve"> N</t>
    </r>
    <r>
      <rPr>
        <sz val="14"/>
        <color theme="1"/>
        <rFont val="Times New Roman"/>
        <family val="1"/>
        <charset val="204"/>
      </rPr>
      <t xml:space="preserve"> = </t>
    </r>
  </si>
  <si>
    <r>
      <t xml:space="preserve">число выбираемых номеров </t>
    </r>
    <r>
      <rPr>
        <b/>
        <sz val="18"/>
        <color theme="1"/>
        <rFont val="Times New Roman"/>
        <family val="1"/>
        <charset val="204"/>
      </rPr>
      <t>n</t>
    </r>
    <r>
      <rPr>
        <sz val="14"/>
        <color theme="1"/>
        <rFont val="Times New Roman"/>
        <family val="1"/>
        <charset val="204"/>
      </rPr>
      <t xml:space="preserve"> =</t>
    </r>
  </si>
  <si>
    <r>
      <t xml:space="preserve">число выигрышных номеров </t>
    </r>
    <r>
      <rPr>
        <sz val="20"/>
        <color theme="1"/>
        <rFont val="Times New Roman"/>
        <family val="1"/>
        <charset val="204"/>
      </rPr>
      <t>M</t>
    </r>
    <r>
      <rPr>
        <sz val="14"/>
        <color theme="1"/>
        <rFont val="Times New Roman"/>
        <family val="1"/>
        <charset val="204"/>
      </rPr>
      <t>=</t>
    </r>
  </si>
  <si>
    <r>
      <t xml:space="preserve">число угаданных номеров </t>
    </r>
    <r>
      <rPr>
        <sz val="20"/>
        <color theme="1"/>
        <rFont val="Times New Roman"/>
        <family val="1"/>
        <charset val="204"/>
      </rPr>
      <t>m</t>
    </r>
    <r>
      <rPr>
        <sz val="14"/>
        <color theme="1"/>
        <rFont val="Times New Roman"/>
        <family val="1"/>
        <charset val="204"/>
      </rPr>
      <t xml:space="preserve"> =</t>
    </r>
  </si>
  <si>
    <t>P(A) =</t>
  </si>
  <si>
    <t xml:space="preserve">𝛗(x)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</si>
</sst>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30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mbria Math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4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26"/>
      <color rgb="FFFF0000"/>
      <name val="Times New Roman"/>
      <family val="1"/>
      <charset val="204"/>
    </font>
    <font>
      <b/>
      <i/>
      <vertAlign val="superscript"/>
      <sz val="26"/>
      <color rgb="FFFF0000"/>
      <name val="Times New Roman"/>
      <family val="1"/>
      <charset val="204"/>
    </font>
    <font>
      <vertAlign val="subscript"/>
      <sz val="14"/>
      <color indexed="8"/>
      <name val="Times New Roman"/>
      <family val="1"/>
      <charset val="204"/>
    </font>
    <font>
      <vertAlign val="superscript"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vertAlign val="subscript"/>
      <sz val="18"/>
      <color indexed="8"/>
      <name val="Times New Roman"/>
      <family val="1"/>
      <charset val="204"/>
    </font>
    <font>
      <b/>
      <i/>
      <vertAlign val="superscript"/>
      <sz val="18"/>
      <color indexed="8"/>
      <name val="Times New Roman"/>
      <family val="1"/>
      <charset val="204"/>
    </font>
    <font>
      <b/>
      <i/>
      <sz val="18"/>
      <color indexed="8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indexed="8"/>
      <name val="Calibri"/>
      <family val="2"/>
      <charset val="204"/>
    </font>
    <font>
      <b/>
      <i/>
      <vertAlign val="subscript"/>
      <sz val="14"/>
      <color indexed="8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/>
    <xf numFmtId="164" fontId="1" fillId="0" borderId="1" xfId="0" applyNumberFormat="1" applyFont="1" applyBorder="1"/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7" fillId="0" borderId="1" xfId="0" applyFont="1" applyFill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11" fillId="0" borderId="1" xfId="0" applyFont="1" applyBorder="1"/>
    <xf numFmtId="0" fontId="3" fillId="0" borderId="1" xfId="0" applyFont="1" applyBorder="1" applyAlignment="1">
      <alignment horizontal="right" vertical="top"/>
    </xf>
    <xf numFmtId="0" fontId="13" fillId="0" borderId="1" xfId="0" applyFont="1" applyBorder="1"/>
    <xf numFmtId="0" fontId="10" fillId="0" borderId="1" xfId="0" applyFont="1" applyBorder="1" applyAlignment="1">
      <alignment horizontal="right" vertical="top"/>
    </xf>
    <xf numFmtId="0" fontId="15" fillId="0" borderId="0" xfId="0" applyFont="1"/>
    <xf numFmtId="0" fontId="4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4" fillId="2" borderId="2" xfId="0" applyFont="1" applyFill="1" applyBorder="1" applyAlignment="1">
      <alignment wrapText="1"/>
    </xf>
    <xf numFmtId="0" fontId="14" fillId="2" borderId="3" xfId="0" applyFont="1" applyFill="1" applyBorder="1"/>
    <xf numFmtId="0" fontId="14" fillId="0" borderId="0" xfId="0" applyFont="1"/>
    <xf numFmtId="0" fontId="14" fillId="3" borderId="4" xfId="0" applyFont="1" applyFill="1" applyBorder="1" applyAlignment="1">
      <alignment wrapText="1"/>
    </xf>
    <xf numFmtId="0" fontId="14" fillId="3" borderId="5" xfId="0" applyFont="1" applyFill="1" applyBorder="1"/>
    <xf numFmtId="0" fontId="14" fillId="3" borderId="6" xfId="0" applyFont="1" applyFill="1" applyBorder="1"/>
    <xf numFmtId="0" fontId="14" fillId="4" borderId="4" xfId="0" applyFont="1" applyFill="1" applyBorder="1" applyAlignment="1">
      <alignment wrapText="1"/>
    </xf>
    <xf numFmtId="0" fontId="14" fillId="5" borderId="1" xfId="0" applyFont="1" applyFill="1" applyBorder="1"/>
    <xf numFmtId="0" fontId="14" fillId="6" borderId="4" xfId="0" applyFont="1" applyFill="1" applyBorder="1" applyAlignment="1">
      <alignment wrapText="1"/>
    </xf>
    <xf numFmtId="0" fontId="14" fillId="6" borderId="5" xfId="0" applyFont="1" applyFill="1" applyBorder="1"/>
    <xf numFmtId="0" fontId="14" fillId="7" borderId="4" xfId="0" applyFont="1" applyFill="1" applyBorder="1" applyAlignment="1">
      <alignment wrapText="1"/>
    </xf>
    <xf numFmtId="0" fontId="14" fillId="8" borderId="4" xfId="0" applyFont="1" applyFill="1" applyBorder="1" applyAlignment="1">
      <alignment wrapText="1"/>
    </xf>
    <xf numFmtId="0" fontId="20" fillId="9" borderId="7" xfId="0" applyFont="1" applyFill="1" applyBorder="1" applyAlignment="1">
      <alignment wrapText="1"/>
    </xf>
    <xf numFmtId="0" fontId="24" fillId="5" borderId="1" xfId="0" applyFont="1" applyFill="1" applyBorder="1"/>
    <xf numFmtId="0" fontId="14" fillId="7" borderId="1" xfId="0" applyFont="1" applyFill="1" applyBorder="1"/>
    <xf numFmtId="0" fontId="14" fillId="9" borderId="1" xfId="0" applyFont="1" applyFill="1" applyBorder="1"/>
    <xf numFmtId="0" fontId="14" fillId="6" borderId="8" xfId="0" applyFont="1" applyFill="1" applyBorder="1"/>
    <xf numFmtId="0" fontId="0" fillId="0" borderId="0" xfId="0" applyBorder="1"/>
    <xf numFmtId="0" fontId="14" fillId="6" borderId="1" xfId="0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20" fillId="0" borderId="0" xfId="0" applyFont="1" applyFill="1" applyBorder="1"/>
    <xf numFmtId="0" fontId="20" fillId="9" borderId="6" xfId="0" applyFont="1" applyFill="1" applyBorder="1"/>
    <xf numFmtId="0" fontId="20" fillId="9" borderId="9" xfId="0" applyFont="1" applyFill="1" applyBorder="1"/>
    <xf numFmtId="0" fontId="20" fillId="9" borderId="10" xfId="0" applyFont="1" applyFill="1" applyBorder="1"/>
    <xf numFmtId="0" fontId="20" fillId="10" borderId="1" xfId="0" applyFont="1" applyFill="1" applyBorder="1"/>
    <xf numFmtId="0" fontId="29" fillId="0" borderId="0" xfId="0" applyFont="1" applyAlignment="1">
      <alignment horizontal="right"/>
    </xf>
    <xf numFmtId="0" fontId="20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нормальный!$B$1</c:f>
              <c:strCache>
                <c:ptCount val="1"/>
                <c:pt idx="0">
                  <c:v>f(x)</c:v>
                </c:pt>
              </c:strCache>
            </c:strRef>
          </c:tx>
          <c:cat>
            <c:numRef>
              <c:f>нормальный!$A$2:$A$23</c:f>
              <c:numCache>
                <c:formatCode>General</c:formatCode>
                <c:ptCount val="2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</c:numCache>
            </c:numRef>
          </c:cat>
          <c:val>
            <c:numRef>
              <c:f>нормальный!$B$2:$B$23</c:f>
              <c:numCache>
                <c:formatCode>General</c:formatCode>
                <c:ptCount val="22"/>
                <c:pt idx="0">
                  <c:v>3.2276123811628609E-20</c:v>
                </c:pt>
                <c:pt idx="1">
                  <c:v>1.3021117687947652E-17</c:v>
                </c:pt>
                <c:pt idx="2">
                  <c:v>3.3681807223579286E-15</c:v>
                </c:pt>
                <c:pt idx="3">
                  <c:v>5.5862804867931224E-13</c:v>
                </c:pt>
                <c:pt idx="4">
                  <c:v>5.9406001249014352E-11</c:v>
                </c:pt>
                <c:pt idx="5">
                  <c:v>4.0505885665488571E-9</c:v>
                </c:pt>
                <c:pt idx="6">
                  <c:v>1.7708679390146084E-7</c:v>
                </c:pt>
                <c:pt idx="7">
                  <c:v>4.9640305804199935E-6</c:v>
                </c:pt>
                <c:pt idx="8">
                  <c:v>8.9220150509923578E-5</c:v>
                </c:pt>
                <c:pt idx="9">
                  <c:v>1.0281859975274036E-3</c:v>
                </c:pt>
                <c:pt idx="10">
                  <c:v>7.597324015864962E-3</c:v>
                </c:pt>
                <c:pt idx="11">
                  <c:v>3.5993977675458706E-2</c:v>
                </c:pt>
                <c:pt idx="12">
                  <c:v>0.10934004978399575</c:v>
                </c:pt>
                <c:pt idx="13">
                  <c:v>0.21296533701490147</c:v>
                </c:pt>
                <c:pt idx="14">
                  <c:v>0.26596152026762176</c:v>
                </c:pt>
                <c:pt idx="15">
                  <c:v>0.21296533701490147</c:v>
                </c:pt>
                <c:pt idx="16">
                  <c:v>0.10934004978399575</c:v>
                </c:pt>
                <c:pt idx="17">
                  <c:v>3.5993977675458706E-2</c:v>
                </c:pt>
                <c:pt idx="18">
                  <c:v>7.597324015864962E-3</c:v>
                </c:pt>
                <c:pt idx="19">
                  <c:v>1.0281859975274036E-3</c:v>
                </c:pt>
                <c:pt idx="20">
                  <c:v>8.9220150509923578E-5</c:v>
                </c:pt>
                <c:pt idx="21">
                  <c:v>4.9640305804199935E-6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нормальный!$C$1</c:f>
              <c:strCache>
                <c:ptCount val="1"/>
                <c:pt idx="0">
                  <c:v>F(x)</c:v>
                </c:pt>
              </c:strCache>
            </c:strRef>
          </c:tx>
          <c:cat>
            <c:numRef>
              <c:f>нормальный!$A$2:$A$23</c:f>
              <c:numCache>
                <c:formatCode>General</c:formatCode>
                <c:ptCount val="2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</c:numCache>
            </c:numRef>
          </c:cat>
          <c:val>
            <c:numRef>
              <c:f>нормальный!$C$2:$C$23</c:f>
              <c:numCache>
                <c:formatCode>General</c:formatCode>
                <c:ptCount val="22"/>
                <c:pt idx="0">
                  <c:v>5.1296284709591474E-21</c:v>
                </c:pt>
                <c:pt idx="1">
                  <c:v>2.2247759785104368E-18</c:v>
                </c:pt>
                <c:pt idx="2">
                  <c:v>6.2209605742717375E-16</c:v>
                </c:pt>
                <c:pt idx="3">
                  <c:v>1.1224881271355515E-13</c:v>
                </c:pt>
                <c:pt idx="4">
                  <c:v>1.3083924686052984E-11</c:v>
                </c:pt>
                <c:pt idx="5">
                  <c:v>9.8658764503769437E-10</c:v>
                </c:pt>
                <c:pt idx="6">
                  <c:v>4.8213033651141262E-8</c:v>
                </c:pt>
                <c:pt idx="7">
                  <c:v>1.530626736531063E-6</c:v>
                </c:pt>
                <c:pt idx="8">
                  <c:v>3.1671241833119857E-5</c:v>
                </c:pt>
                <c:pt idx="9">
                  <c:v>4.2906033319683703E-4</c:v>
                </c:pt>
                <c:pt idx="10">
                  <c:v>3.8303805675897356E-3</c:v>
                </c:pt>
                <c:pt idx="11">
                  <c:v>2.2750131948179191E-2</c:v>
                </c:pt>
                <c:pt idx="12">
                  <c:v>9.1211219725867876E-2</c:v>
                </c:pt>
                <c:pt idx="13">
                  <c:v>0.25249253754692291</c:v>
                </c:pt>
                <c:pt idx="14">
                  <c:v>0.5</c:v>
                </c:pt>
                <c:pt idx="15">
                  <c:v>0.74750746245307709</c:v>
                </c:pt>
                <c:pt idx="16">
                  <c:v>0.90878878027413212</c:v>
                </c:pt>
                <c:pt idx="17">
                  <c:v>0.97724986805182079</c:v>
                </c:pt>
                <c:pt idx="18">
                  <c:v>0.99616961943241022</c:v>
                </c:pt>
                <c:pt idx="19">
                  <c:v>0.99957093966680322</c:v>
                </c:pt>
                <c:pt idx="20">
                  <c:v>0.99996832875816688</c:v>
                </c:pt>
                <c:pt idx="21">
                  <c:v>0.99999846937326342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405376"/>
        <c:axId val="332407168"/>
      </c:lineChart>
      <c:catAx>
        <c:axId val="33240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2407168"/>
        <c:crosses val="autoZero"/>
        <c:auto val="1"/>
        <c:lblAlgn val="ctr"/>
        <c:lblOffset val="100"/>
        <c:noMultiLvlLbl val="0"/>
      </c:catAx>
      <c:valAx>
        <c:axId val="332407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2405376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200"/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 sz="3600"/>
            </a:pPr>
            <a:endParaRPr lang="ru-RU"/>
          </a:p>
        </c:txPr>
      </c:legendEntry>
      <c:layout>
        <c:manualLayout>
          <c:xMode val="edge"/>
          <c:yMode val="edge"/>
          <c:x val="0.64448600174978121"/>
          <c:y val="0.32483455961447444"/>
          <c:w val="0.33884733158355207"/>
          <c:h val="0.4450485492592114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равномерный!$B$2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cat>
            <c:numRef>
              <c:f>равномерный!$A$3:$A$15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cat>
          <c:val>
            <c:numRef>
              <c:f>равномерный!$B$3:$B$15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0.5</c:v>
                </c:pt>
                <c:pt idx="6">
                  <c:v>0.66666666666666663</c:v>
                </c:pt>
                <c:pt idx="7">
                  <c:v>0.83333333333333337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равномерный!$C$2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cat>
            <c:numRef>
              <c:f>равномерный!$A$3:$A$15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cat>
          <c:val>
            <c:numRef>
              <c:f>равномерный!$C$3:$C$15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466048"/>
        <c:axId val="332467584"/>
      </c:lineChart>
      <c:catAx>
        <c:axId val="33246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2467584"/>
        <c:crosses val="autoZero"/>
        <c:auto val="1"/>
        <c:lblAlgn val="ctr"/>
        <c:lblOffset val="100"/>
        <c:noMultiLvlLbl val="0"/>
      </c:catAx>
      <c:valAx>
        <c:axId val="332467584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332466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99960600951371"/>
          <c:y val="4.0887904087365964E-2"/>
          <c:w val="0.72491282960490866"/>
          <c:h val="0.75776098339466358"/>
        </c:manualLayout>
      </c:layout>
      <c:lineChart>
        <c:grouping val="standard"/>
        <c:varyColors val="0"/>
        <c:ser>
          <c:idx val="0"/>
          <c:order val="0"/>
          <c:tx>
            <c:strRef>
              <c:f>экспоненциальный!$B$1</c:f>
              <c:strCache>
                <c:ptCount val="1"/>
                <c:pt idx="0">
                  <c:v>𝛗(x)</c:v>
                </c:pt>
              </c:strCache>
            </c:strRef>
          </c:tx>
          <c:val>
            <c:numRef>
              <c:f>экспоненциальный!$B$2:$B$20</c:f>
              <c:numCache>
                <c:formatCode>General</c:formatCode>
                <c:ptCount val="19"/>
                <c:pt idx="0">
                  <c:v>0.5</c:v>
                </c:pt>
                <c:pt idx="1">
                  <c:v>0.30326532985631671</c:v>
                </c:pt>
                <c:pt idx="2">
                  <c:v>0.18393972058572117</c:v>
                </c:pt>
                <c:pt idx="3">
                  <c:v>0.11156508007421491</c:v>
                </c:pt>
                <c:pt idx="4">
                  <c:v>6.7667641618306351E-2</c:v>
                </c:pt>
                <c:pt idx="5">
                  <c:v>4.10424993119494E-2</c:v>
                </c:pt>
                <c:pt idx="6">
                  <c:v>2.4893534183931972E-2</c:v>
                </c:pt>
                <c:pt idx="7">
                  <c:v>1.509869171115925E-2</c:v>
                </c:pt>
                <c:pt idx="8">
                  <c:v>9.1578194443670893E-3</c:v>
                </c:pt>
                <c:pt idx="9">
                  <c:v>5.554498269121153E-3</c:v>
                </c:pt>
                <c:pt idx="10">
                  <c:v>3.3689734995427335E-3</c:v>
                </c:pt>
                <c:pt idx="11">
                  <c:v>2.0433857192320333E-3</c:v>
                </c:pt>
                <c:pt idx="12">
                  <c:v>1.2393760883331792E-3</c:v>
                </c:pt>
                <c:pt idx="13">
                  <c:v>7.5171959648878618E-4</c:v>
                </c:pt>
                <c:pt idx="14">
                  <c:v>4.5594098277725812E-4</c:v>
                </c:pt>
                <c:pt idx="15">
                  <c:v>2.7654218507391681E-4</c:v>
                </c:pt>
                <c:pt idx="16">
                  <c:v>1.6773131395125593E-4</c:v>
                </c:pt>
                <c:pt idx="17">
                  <c:v>1.0173418450532208E-4</c:v>
                </c:pt>
                <c:pt idx="18">
                  <c:v>6.1704902043339781E-5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экспоненциальный!$C$1</c:f>
              <c:strCache>
                <c:ptCount val="1"/>
                <c:pt idx="0">
                  <c:v>F(x)</c:v>
                </c:pt>
              </c:strCache>
            </c:strRef>
          </c:tx>
          <c:val>
            <c:numRef>
              <c:f>экспоненциальный!$C$2:$C$20</c:f>
              <c:numCache>
                <c:formatCode>General</c:formatCode>
                <c:ptCount val="19"/>
                <c:pt idx="0">
                  <c:v>0</c:v>
                </c:pt>
                <c:pt idx="1">
                  <c:v>0.39346934028736658</c:v>
                </c:pt>
                <c:pt idx="2">
                  <c:v>0.63212055882855767</c:v>
                </c:pt>
                <c:pt idx="3">
                  <c:v>0.77686983985157021</c:v>
                </c:pt>
                <c:pt idx="4">
                  <c:v>0.8646647167633873</c:v>
                </c:pt>
                <c:pt idx="5">
                  <c:v>0.91791500137610116</c:v>
                </c:pt>
                <c:pt idx="6">
                  <c:v>0.95021293163213605</c:v>
                </c:pt>
                <c:pt idx="7">
                  <c:v>0.96980261657768152</c:v>
                </c:pt>
                <c:pt idx="8">
                  <c:v>0.98168436111126578</c:v>
                </c:pt>
                <c:pt idx="9">
                  <c:v>0.98889100346175773</c:v>
                </c:pt>
                <c:pt idx="10">
                  <c:v>0.99326205300091452</c:v>
                </c:pt>
                <c:pt idx="11">
                  <c:v>0.99591322856153597</c:v>
                </c:pt>
                <c:pt idx="12">
                  <c:v>0.99752124782333362</c:v>
                </c:pt>
                <c:pt idx="13">
                  <c:v>0.99849656080702243</c:v>
                </c:pt>
                <c:pt idx="14">
                  <c:v>0.99908811803444553</c:v>
                </c:pt>
                <c:pt idx="15">
                  <c:v>0.99944691562985222</c:v>
                </c:pt>
                <c:pt idx="16">
                  <c:v>0.99966453737209748</c:v>
                </c:pt>
                <c:pt idx="17">
                  <c:v>0.99979653163098936</c:v>
                </c:pt>
                <c:pt idx="18">
                  <c:v>0.99987659019591335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384704"/>
        <c:axId val="331386240"/>
      </c:lineChart>
      <c:catAx>
        <c:axId val="33138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331386240"/>
        <c:crosses val="autoZero"/>
        <c:auto val="1"/>
        <c:lblAlgn val="ctr"/>
        <c:lblOffset val="100"/>
        <c:noMultiLvlLbl val="0"/>
      </c:catAx>
      <c:valAx>
        <c:axId val="33138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384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экспоненциальный!$J$1</c:f>
              <c:strCache>
                <c:ptCount val="1"/>
                <c:pt idx="0">
                  <c:v>𝛗(x)</c:v>
                </c:pt>
              </c:strCache>
            </c:strRef>
          </c:tx>
          <c:val>
            <c:numRef>
              <c:f>экспоненциальный!$J$2:$J$20</c:f>
              <c:numCache>
                <c:formatCode>General</c:formatCode>
                <c:ptCount val="19"/>
                <c:pt idx="0">
                  <c:v>0</c:v>
                </c:pt>
                <c:pt idx="1">
                  <c:v>0.30326532985631671</c:v>
                </c:pt>
                <c:pt idx="2">
                  <c:v>0.18393972058572117</c:v>
                </c:pt>
                <c:pt idx="3">
                  <c:v>0.11156508007421491</c:v>
                </c:pt>
                <c:pt idx="4">
                  <c:v>6.7667641618306351E-2</c:v>
                </c:pt>
                <c:pt idx="5">
                  <c:v>4.10424993119494E-2</c:v>
                </c:pt>
                <c:pt idx="6">
                  <c:v>2.4893534183931972E-2</c:v>
                </c:pt>
                <c:pt idx="7">
                  <c:v>1.509869171115925E-2</c:v>
                </c:pt>
                <c:pt idx="8">
                  <c:v>9.1578194443670893E-3</c:v>
                </c:pt>
                <c:pt idx="9">
                  <c:v>5.554498269121153E-3</c:v>
                </c:pt>
                <c:pt idx="10">
                  <c:v>3.3689734995427335E-3</c:v>
                </c:pt>
                <c:pt idx="11">
                  <c:v>2.0433857192320333E-3</c:v>
                </c:pt>
                <c:pt idx="12">
                  <c:v>1.2393760883331792E-3</c:v>
                </c:pt>
                <c:pt idx="13">
                  <c:v>7.5171959648878618E-4</c:v>
                </c:pt>
                <c:pt idx="14">
                  <c:v>4.5594098277725812E-4</c:v>
                </c:pt>
                <c:pt idx="15">
                  <c:v>2.7654218507391681E-4</c:v>
                </c:pt>
                <c:pt idx="16">
                  <c:v>1.6773131395125593E-4</c:v>
                </c:pt>
                <c:pt idx="17">
                  <c:v>1.0173418450532208E-4</c:v>
                </c:pt>
                <c:pt idx="18">
                  <c:v>6.1704902043339781E-5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экспоненциальный!$K$1</c:f>
              <c:strCache>
                <c:ptCount val="1"/>
                <c:pt idx="0">
                  <c:v>F(x)</c:v>
                </c:pt>
              </c:strCache>
            </c:strRef>
          </c:tx>
          <c:val>
            <c:numRef>
              <c:f>экспоненциальный!$K$2:$K$20</c:f>
              <c:numCache>
                <c:formatCode>General</c:formatCode>
                <c:ptCount val="19"/>
                <c:pt idx="0">
                  <c:v>0</c:v>
                </c:pt>
                <c:pt idx="1">
                  <c:v>0.39346934028736658</c:v>
                </c:pt>
                <c:pt idx="2">
                  <c:v>0.63212055882855767</c:v>
                </c:pt>
                <c:pt idx="3">
                  <c:v>0.77686983985157021</c:v>
                </c:pt>
                <c:pt idx="4">
                  <c:v>0.8646647167633873</c:v>
                </c:pt>
                <c:pt idx="5">
                  <c:v>0.91791500137610116</c:v>
                </c:pt>
                <c:pt idx="6">
                  <c:v>0.95021293163213605</c:v>
                </c:pt>
                <c:pt idx="7">
                  <c:v>0.96980261657768152</c:v>
                </c:pt>
                <c:pt idx="8">
                  <c:v>0.98168436111126578</c:v>
                </c:pt>
                <c:pt idx="9">
                  <c:v>0.98889100346175773</c:v>
                </c:pt>
                <c:pt idx="10">
                  <c:v>0.99326205300091452</c:v>
                </c:pt>
                <c:pt idx="11">
                  <c:v>0.99591322856153597</c:v>
                </c:pt>
                <c:pt idx="12">
                  <c:v>0.99752124782333362</c:v>
                </c:pt>
                <c:pt idx="13">
                  <c:v>0.99849656080702243</c:v>
                </c:pt>
                <c:pt idx="14">
                  <c:v>0.99908811803444553</c:v>
                </c:pt>
                <c:pt idx="15">
                  <c:v>0.99944691562985222</c:v>
                </c:pt>
                <c:pt idx="16">
                  <c:v>0.99966453737209748</c:v>
                </c:pt>
                <c:pt idx="17">
                  <c:v>0.99979653163098936</c:v>
                </c:pt>
                <c:pt idx="18">
                  <c:v>0.99987659019591335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665408"/>
        <c:axId val="331666944"/>
      </c:lineChart>
      <c:catAx>
        <c:axId val="3316654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1666944"/>
        <c:crosses val="autoZero"/>
        <c:auto val="1"/>
        <c:lblAlgn val="ctr"/>
        <c:lblOffset val="100"/>
        <c:noMultiLvlLbl val="0"/>
      </c:catAx>
      <c:valAx>
        <c:axId val="331666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665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508206474190728E-2"/>
          <c:y val="5.1400554097404488E-2"/>
          <c:w val="0.9043340832395950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биномиальный!$B$1</c:f>
              <c:strCache>
                <c:ptCount val="1"/>
                <c:pt idx="0">
                  <c:v>𝛗(x)</c:v>
                </c:pt>
              </c:strCache>
            </c:strRef>
          </c:tx>
          <c:marker>
            <c:symbol val="none"/>
          </c:marker>
          <c:val>
            <c:numRef>
              <c:f>биномиальный!$B$2:$B$22</c:f>
              <c:numCache>
                <c:formatCode>General</c:formatCode>
                <c:ptCount val="21"/>
                <c:pt idx="0">
                  <c:v>9.5367431640625E-7</c:v>
                </c:pt>
                <c:pt idx="1">
                  <c:v>1.9073486328125034E-5</c:v>
                </c:pt>
                <c:pt idx="2">
                  <c:v>1.8119812011718755E-4</c:v>
                </c:pt>
                <c:pt idx="3">
                  <c:v>1.0871887207031263E-3</c:v>
                </c:pt>
                <c:pt idx="4">
                  <c:v>4.6205520629882752E-3</c:v>
                </c:pt>
                <c:pt idx="5">
                  <c:v>1.4785766601562502E-2</c:v>
                </c:pt>
                <c:pt idx="6">
                  <c:v>3.6964416503906257E-2</c:v>
                </c:pt>
                <c:pt idx="7">
                  <c:v>7.3928833007812458E-2</c:v>
                </c:pt>
                <c:pt idx="8">
                  <c:v>0.12013435363769531</c:v>
                </c:pt>
                <c:pt idx="9">
                  <c:v>0.16017913818359369</c:v>
                </c:pt>
                <c:pt idx="10">
                  <c:v>0.17619705200195307</c:v>
                </c:pt>
                <c:pt idx="11">
                  <c:v>0.16017913818359369</c:v>
                </c:pt>
                <c:pt idx="12">
                  <c:v>0.12013435363769531</c:v>
                </c:pt>
                <c:pt idx="13">
                  <c:v>7.3928833007812472E-2</c:v>
                </c:pt>
                <c:pt idx="14">
                  <c:v>3.6964416503906257E-2</c:v>
                </c:pt>
                <c:pt idx="15">
                  <c:v>1.4785766601562502E-2</c:v>
                </c:pt>
                <c:pt idx="16">
                  <c:v>4.6205520629882752E-3</c:v>
                </c:pt>
                <c:pt idx="17">
                  <c:v>1.0871887207031261E-3</c:v>
                </c:pt>
                <c:pt idx="18">
                  <c:v>1.8119812011718753E-4</c:v>
                </c:pt>
                <c:pt idx="19">
                  <c:v>1.9073486328125E-5</c:v>
                </c:pt>
                <c:pt idx="20">
                  <c:v>9.5367431640625E-7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биномиальный!$C$1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val>
            <c:numRef>
              <c:f>биномиальный!$C$2:$C$22</c:f>
              <c:numCache>
                <c:formatCode>General</c:formatCode>
                <c:ptCount val="21"/>
                <c:pt idx="0">
                  <c:v>9.5367431640625E-7</c:v>
                </c:pt>
                <c:pt idx="1">
                  <c:v>2.002716064453125E-5</c:v>
                </c:pt>
                <c:pt idx="2">
                  <c:v>2.0122528076171875E-4</c:v>
                </c:pt>
                <c:pt idx="3">
                  <c:v>1.2884140014648442E-3</c:v>
                </c:pt>
                <c:pt idx="4">
                  <c:v>5.9089660644531285E-3</c:v>
                </c:pt>
                <c:pt idx="5">
                  <c:v>2.0694732666015635E-2</c:v>
                </c:pt>
                <c:pt idx="6">
                  <c:v>5.7659149169921903E-2</c:v>
                </c:pt>
                <c:pt idx="7">
                  <c:v>0.13158798217773449</c:v>
                </c:pt>
                <c:pt idx="8">
                  <c:v>0.25172233581542974</c:v>
                </c:pt>
                <c:pt idx="9">
                  <c:v>0.41190147399902349</c:v>
                </c:pt>
                <c:pt idx="10">
                  <c:v>0.58809852600097656</c:v>
                </c:pt>
                <c:pt idx="11">
                  <c:v>0.74827766418457031</c:v>
                </c:pt>
                <c:pt idx="12">
                  <c:v>0.86841201782226551</c:v>
                </c:pt>
                <c:pt idx="13">
                  <c:v>0.94234085083007813</c:v>
                </c:pt>
                <c:pt idx="14">
                  <c:v>0.97930526733398438</c:v>
                </c:pt>
                <c:pt idx="15">
                  <c:v>0.99409103393554688</c:v>
                </c:pt>
                <c:pt idx="16">
                  <c:v>0.99871158599853516</c:v>
                </c:pt>
                <c:pt idx="17">
                  <c:v>0.99979877471923828</c:v>
                </c:pt>
                <c:pt idx="18">
                  <c:v>0.99997997283935547</c:v>
                </c:pt>
                <c:pt idx="19">
                  <c:v>0.99999904632568359</c:v>
                </c:pt>
                <c:pt idx="2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415552"/>
        <c:axId val="331417088"/>
      </c:lineChart>
      <c:catAx>
        <c:axId val="33141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331417088"/>
        <c:crosses val="autoZero"/>
        <c:auto val="1"/>
        <c:lblAlgn val="ctr"/>
        <c:lblOffset val="100"/>
        <c:noMultiLvlLbl val="0"/>
      </c:catAx>
      <c:valAx>
        <c:axId val="33141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41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91122984626922"/>
          <c:y val="0.33484106153397492"/>
          <c:w val="0.20901199850018748"/>
          <c:h val="0.41365121026538348"/>
        </c:manualLayout>
      </c:layout>
      <c:overlay val="0"/>
      <c:txPr>
        <a:bodyPr/>
        <a:lstStyle/>
        <a:p>
          <a:pPr>
            <a:defRPr sz="32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508206474190728E-2"/>
          <c:y val="5.1400554097404488E-2"/>
          <c:w val="0.9043340832395950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Пуассон!$B$1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val>
            <c:numRef>
              <c:f>Пуассон!$B$2:$B$22</c:f>
              <c:numCache>
                <c:formatCode>General</c:formatCode>
                <c:ptCount val="21"/>
                <c:pt idx="0">
                  <c:v>4.5399929762484854E-5</c:v>
                </c:pt>
                <c:pt idx="1">
                  <c:v>4.9939922738733344E-4</c:v>
                </c:pt>
                <c:pt idx="2">
                  <c:v>2.7693957155115762E-3</c:v>
                </c:pt>
                <c:pt idx="3">
                  <c:v>1.0336050675925718E-2</c:v>
                </c:pt>
                <c:pt idx="4">
                  <c:v>2.9252688076961065E-2</c:v>
                </c:pt>
                <c:pt idx="5">
                  <c:v>6.7085962879031805E-2</c:v>
                </c:pt>
                <c:pt idx="6">
                  <c:v>0.13014142088248298</c:v>
                </c:pt>
                <c:pt idx="7">
                  <c:v>0.22022064660169899</c:v>
                </c:pt>
                <c:pt idx="8">
                  <c:v>0.33281967875071894</c:v>
                </c:pt>
                <c:pt idx="9">
                  <c:v>0.45792971447185227</c:v>
                </c:pt>
                <c:pt idx="10">
                  <c:v>0.58303975019298537</c:v>
                </c:pt>
                <c:pt idx="11">
                  <c:v>0.69677614630310658</c:v>
                </c:pt>
                <c:pt idx="12">
                  <c:v>0.79155647639487436</c:v>
                </c:pt>
                <c:pt idx="13">
                  <c:v>0.864464422619311</c:v>
                </c:pt>
                <c:pt idx="14">
                  <c:v>0.9165415270653372</c:v>
                </c:pt>
                <c:pt idx="15">
                  <c:v>0.95125959669602134</c:v>
                </c:pt>
                <c:pt idx="16">
                  <c:v>0.97295839021519881</c:v>
                </c:pt>
                <c:pt idx="17">
                  <c:v>0.9857223864029504</c:v>
                </c:pt>
                <c:pt idx="18">
                  <c:v>0.99281349539614561</c:v>
                </c:pt>
                <c:pt idx="19">
                  <c:v>0.99654565802414319</c:v>
                </c:pt>
                <c:pt idx="20">
                  <c:v>0.99841173933814198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Пуассон!$C$1</c:f>
              <c:strCache>
                <c:ptCount val="1"/>
                <c:pt idx="0">
                  <c:v>𝛗(x)</c:v>
                </c:pt>
              </c:strCache>
            </c:strRef>
          </c:tx>
          <c:marker>
            <c:symbol val="none"/>
          </c:marker>
          <c:val>
            <c:numRef>
              <c:f>Пуассон!$C$2:$C$22</c:f>
              <c:numCache>
                <c:formatCode>General</c:formatCode>
                <c:ptCount val="21"/>
                <c:pt idx="0">
                  <c:v>4.5399929762484854E-5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509120"/>
        <c:axId val="331519104"/>
      </c:lineChart>
      <c:catAx>
        <c:axId val="33150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331519104"/>
        <c:crosses val="autoZero"/>
        <c:auto val="1"/>
        <c:lblAlgn val="ctr"/>
        <c:lblOffset val="100"/>
        <c:noMultiLvlLbl val="0"/>
      </c:catAx>
      <c:valAx>
        <c:axId val="33151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91122984626922"/>
          <c:y val="0.33484106153397492"/>
          <c:w val="0.20901199850018748"/>
          <c:h val="0.41365121026538348"/>
        </c:manualLayout>
      </c:layout>
      <c:overlay val="0"/>
      <c:txPr>
        <a:bodyPr/>
        <a:lstStyle/>
        <a:p>
          <a:pPr>
            <a:defRPr sz="32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геометрическое!$B$1</c:f>
              <c:strCache>
                <c:ptCount val="1"/>
                <c:pt idx="0">
                  <c:v>F(x)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геометрическое!$B$2:$B$21</c:f>
              <c:numCache>
                <c:formatCode>General</c:formatCode>
                <c:ptCount val="20"/>
                <c:pt idx="0">
                  <c:v>0.6</c:v>
                </c:pt>
                <c:pt idx="1">
                  <c:v>0.84</c:v>
                </c:pt>
                <c:pt idx="2">
                  <c:v>0.93599999999999994</c:v>
                </c:pt>
                <c:pt idx="3">
                  <c:v>0.97439999999999993</c:v>
                </c:pt>
                <c:pt idx="4">
                  <c:v>0.98975999999999997</c:v>
                </c:pt>
                <c:pt idx="5">
                  <c:v>0.99590400000000001</c:v>
                </c:pt>
                <c:pt idx="6">
                  <c:v>0.99836159999999996</c:v>
                </c:pt>
                <c:pt idx="7">
                  <c:v>0.99934464000000001</c:v>
                </c:pt>
                <c:pt idx="8">
                  <c:v>0.99973785599999998</c:v>
                </c:pt>
                <c:pt idx="9">
                  <c:v>0.99989514239999999</c:v>
                </c:pt>
                <c:pt idx="10">
                  <c:v>0.99995805695999995</c:v>
                </c:pt>
                <c:pt idx="11">
                  <c:v>0.99998322278399998</c:v>
                </c:pt>
                <c:pt idx="12">
                  <c:v>0.99999328911359997</c:v>
                </c:pt>
                <c:pt idx="13">
                  <c:v>0.99999731564543992</c:v>
                </c:pt>
                <c:pt idx="14">
                  <c:v>0.99999892625817588</c:v>
                </c:pt>
                <c:pt idx="15">
                  <c:v>0.99999957050327026</c:v>
                </c:pt>
                <c:pt idx="16">
                  <c:v>0.99999982820130806</c:v>
                </c:pt>
                <c:pt idx="17">
                  <c:v>0.99999993128052311</c:v>
                </c:pt>
                <c:pt idx="18">
                  <c:v>0.99999997251220918</c:v>
                </c:pt>
                <c:pt idx="19">
                  <c:v>0.99999998900488363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геометрическое!$C$1</c:f>
              <c:strCache>
                <c:ptCount val="1"/>
                <c:pt idx="0">
                  <c:v>𝛗(x)</c:v>
                </c:pt>
              </c:strCache>
            </c:strRef>
          </c:tx>
          <c:spPr>
            <a:ln w="47625"/>
          </c:spPr>
          <c:marker>
            <c:symbol val="none"/>
          </c:marker>
          <c:val>
            <c:numRef>
              <c:f>геометрическое!$C$2:$C$21</c:f>
              <c:numCache>
                <c:formatCode>General</c:formatCode>
                <c:ptCount val="20"/>
                <c:pt idx="0">
                  <c:v>0.6</c:v>
                </c:pt>
                <c:pt idx="1">
                  <c:v>0.24</c:v>
                </c:pt>
                <c:pt idx="2">
                  <c:v>9.6000000000000016E-2</c:v>
                </c:pt>
                <c:pt idx="3">
                  <c:v>3.8400000000000011E-2</c:v>
                </c:pt>
                <c:pt idx="4">
                  <c:v>1.5360000000000006E-2</c:v>
                </c:pt>
                <c:pt idx="5">
                  <c:v>6.1440000000000036E-3</c:v>
                </c:pt>
                <c:pt idx="6">
                  <c:v>2.4576000000000012E-3</c:v>
                </c:pt>
                <c:pt idx="7">
                  <c:v>9.8304000000000078E-4</c:v>
                </c:pt>
                <c:pt idx="8">
                  <c:v>3.9321600000000032E-4</c:v>
                </c:pt>
                <c:pt idx="9">
                  <c:v>1.5728640000000013E-4</c:v>
                </c:pt>
                <c:pt idx="10">
                  <c:v>6.2914560000000067E-5</c:v>
                </c:pt>
                <c:pt idx="11">
                  <c:v>2.5165824000000025E-5</c:v>
                </c:pt>
                <c:pt idx="12">
                  <c:v>1.0066329600000013E-5</c:v>
                </c:pt>
                <c:pt idx="13">
                  <c:v>4.0265318400000057E-6</c:v>
                </c:pt>
                <c:pt idx="14">
                  <c:v>1.6106127360000022E-6</c:v>
                </c:pt>
                <c:pt idx="15">
                  <c:v>6.4424509440000105E-7</c:v>
                </c:pt>
                <c:pt idx="16">
                  <c:v>2.5769803776000043E-7</c:v>
                </c:pt>
                <c:pt idx="17">
                  <c:v>1.0307921510400018E-7</c:v>
                </c:pt>
                <c:pt idx="18">
                  <c:v>4.1231686041600072E-8</c:v>
                </c:pt>
                <c:pt idx="19">
                  <c:v>1.6492674416640031E-8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064832"/>
        <c:axId val="333095296"/>
      </c:lineChart>
      <c:catAx>
        <c:axId val="333064832"/>
        <c:scaling>
          <c:orientation val="minMax"/>
        </c:scaling>
        <c:delete val="0"/>
        <c:axPos val="b"/>
        <c:majorTickMark val="out"/>
        <c:minorTickMark val="none"/>
        <c:tickLblPos val="nextTo"/>
        <c:crossAx val="333095296"/>
        <c:crosses val="autoZero"/>
        <c:auto val="1"/>
        <c:lblAlgn val="ctr"/>
        <c:lblOffset val="100"/>
        <c:noMultiLvlLbl val="0"/>
      </c:catAx>
      <c:valAx>
        <c:axId val="333095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306483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28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гипер_геометрическое!$A$10</c:f>
              <c:strCache>
                <c:ptCount val="1"/>
                <c:pt idx="0">
                  <c:v>P(A) =</c:v>
                </c:pt>
              </c:strCache>
            </c:strRef>
          </c:tx>
          <c:marker>
            <c:symbol val="none"/>
          </c:marker>
          <c:val>
            <c:numRef>
              <c:f>гипер_геометрическое!$B$10:$H$10</c:f>
              <c:numCache>
                <c:formatCode>General</c:formatCode>
                <c:ptCount val="7"/>
                <c:pt idx="0">
                  <c:v>0.40056463672459136</c:v>
                </c:pt>
                <c:pt idx="1">
                  <c:v>0.42412726241427318</c:v>
                </c:pt>
                <c:pt idx="2">
                  <c:v>0.15147402229081183</c:v>
                </c:pt>
                <c:pt idx="3">
                  <c:v>2.244059589493513E-2</c:v>
                </c:pt>
                <c:pt idx="4">
                  <c:v>1.3646308314487566E-3</c:v>
                </c:pt>
                <c:pt idx="5">
                  <c:v>2.8729070135763278E-5</c:v>
                </c:pt>
                <c:pt idx="6">
                  <c:v>1.2277380399898855E-7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гипер_геометрическое!$A$11</c:f>
              <c:strCache>
                <c:ptCount val="1"/>
                <c:pt idx="0">
                  <c:v>𝛗(x) = </c:v>
                </c:pt>
              </c:strCache>
            </c:strRef>
          </c:tx>
          <c:marker>
            <c:symbol val="none"/>
          </c:marker>
          <c:val>
            <c:numRef>
              <c:f>гипер_геометрическое!$B$11:$H$11</c:f>
              <c:numCache>
                <c:formatCode>General</c:formatCode>
                <c:ptCount val="7"/>
                <c:pt idx="0">
                  <c:v>0.40056463672459136</c:v>
                </c:pt>
                <c:pt idx="1">
                  <c:v>0.82469189913886454</c:v>
                </c:pt>
                <c:pt idx="2">
                  <c:v>0.9761659214296764</c:v>
                </c:pt>
                <c:pt idx="3">
                  <c:v>0.99860651732461148</c:v>
                </c:pt>
                <c:pt idx="4">
                  <c:v>0.99997114815606025</c:v>
                </c:pt>
                <c:pt idx="5">
                  <c:v>0.99999987722619599</c:v>
                </c:pt>
                <c:pt idx="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833920"/>
        <c:axId val="332835456"/>
      </c:lineChart>
      <c:catAx>
        <c:axId val="332833920"/>
        <c:scaling>
          <c:orientation val="minMax"/>
        </c:scaling>
        <c:delete val="0"/>
        <c:axPos val="b"/>
        <c:majorTickMark val="out"/>
        <c:minorTickMark val="none"/>
        <c:tickLblPos val="nextTo"/>
        <c:crossAx val="332835456"/>
        <c:crosses val="autoZero"/>
        <c:auto val="1"/>
        <c:lblAlgn val="ctr"/>
        <c:lblOffset val="100"/>
        <c:noMultiLvlLbl val="0"/>
      </c:catAx>
      <c:valAx>
        <c:axId val="33283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283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679155730533676"/>
          <c:y val="0.38796121196147554"/>
          <c:w val="0.24979177602799649"/>
          <c:h val="0.35628042862797654"/>
        </c:manualLayout>
      </c:layout>
      <c:overlay val="0"/>
      <c:txPr>
        <a:bodyPr/>
        <a:lstStyle/>
        <a:p>
          <a:pPr>
            <a:defRPr sz="2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9</xdr:row>
      <xdr:rowOff>47626</xdr:rowOff>
    </xdr:from>
    <xdr:to>
      <xdr:col>10</xdr:col>
      <xdr:colOff>285750</xdr:colOff>
      <xdr:row>22</xdr:row>
      <xdr:rowOff>190501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2</xdr:row>
      <xdr:rowOff>142875</xdr:rowOff>
    </xdr:from>
    <xdr:to>
      <xdr:col>9</xdr:col>
      <xdr:colOff>581025</xdr:colOff>
      <xdr:row>4</xdr:row>
      <xdr:rowOff>133351</xdr:rowOff>
    </xdr:to>
    <xdr:sp macro="" textlink="">
      <xdr:nvSpPr>
        <xdr:cNvPr id="8" name="Скругленная прямоугольная выноска 7"/>
        <xdr:cNvSpPr/>
      </xdr:nvSpPr>
      <xdr:spPr>
        <a:xfrm>
          <a:off x="2857500" y="847725"/>
          <a:ext cx="4448175" cy="504826"/>
        </a:xfrm>
        <a:prstGeom prst="wedgeRoundRectCallout">
          <a:avLst>
            <a:gd name="adj1" fmla="val -54007"/>
            <a:gd name="adj2" fmla="val -9127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152400</xdr:colOff>
      <xdr:row>6</xdr:row>
      <xdr:rowOff>133350</xdr:rowOff>
    </xdr:from>
    <xdr:to>
      <xdr:col>9</xdr:col>
      <xdr:colOff>581025</xdr:colOff>
      <xdr:row>8</xdr:row>
      <xdr:rowOff>123826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2857500" y="1866900"/>
          <a:ext cx="4448175" cy="504826"/>
        </a:xfrm>
        <a:prstGeom prst="wedgeRoundRectCallout">
          <a:avLst>
            <a:gd name="adj1" fmla="val -74778"/>
            <a:gd name="adj2" fmla="val -28938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542924</xdr:colOff>
      <xdr:row>1</xdr:row>
      <xdr:rowOff>9525</xdr:rowOff>
    </xdr:from>
    <xdr:to>
      <xdr:col>11</xdr:col>
      <xdr:colOff>66675</xdr:colOff>
      <xdr:row>13</xdr:row>
      <xdr:rowOff>104775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104773</xdr:colOff>
      <xdr:row>16</xdr:row>
      <xdr:rowOff>171450</xdr:rowOff>
    </xdr:from>
    <xdr:to>
      <xdr:col>9</xdr:col>
      <xdr:colOff>276225</xdr:colOff>
      <xdr:row>17</xdr:row>
      <xdr:rowOff>247650</xdr:rowOff>
    </xdr:to>
    <xdr:sp macro="" textlink="">
      <xdr:nvSpPr>
        <xdr:cNvPr id="9" name="Скругленная прямоугольная выноска 8"/>
        <xdr:cNvSpPr/>
      </xdr:nvSpPr>
      <xdr:spPr>
        <a:xfrm>
          <a:off x="104773" y="4286250"/>
          <a:ext cx="6391277" cy="333375"/>
        </a:xfrm>
        <a:prstGeom prst="wedgeRoundRectCallout">
          <a:avLst>
            <a:gd name="adj1" fmla="val -37375"/>
            <a:gd name="adj2" fmla="val -114607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A3&lt;=$B$1;0;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A3&lt;=$D$1;(A3-$B$1)/($D$1-$B$1);1))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152401</xdr:colOff>
      <xdr:row>14</xdr:row>
      <xdr:rowOff>123825</xdr:rowOff>
    </xdr:from>
    <xdr:to>
      <xdr:col>12</xdr:col>
      <xdr:colOff>114301</xdr:colOff>
      <xdr:row>15</xdr:row>
      <xdr:rowOff>200025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2714626" y="3724275"/>
          <a:ext cx="5448300" cy="333375"/>
        </a:xfrm>
        <a:prstGeom prst="wedgeRoundRectCallout">
          <a:avLst>
            <a:gd name="adj1" fmla="val -53983"/>
            <a:gd name="adj2" fmla="val -98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A3&lt;$B$1; 0;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A3&lt;=$D$1;(1/($D$1-$B$1));0))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20</xdr:row>
          <xdr:rowOff>123825</xdr:rowOff>
        </xdr:from>
        <xdr:to>
          <xdr:col>2</xdr:col>
          <xdr:colOff>990600</xdr:colOff>
          <xdr:row>21</xdr:row>
          <xdr:rowOff>438150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561975</xdr:colOff>
          <xdr:row>20</xdr:row>
          <xdr:rowOff>114300</xdr:rowOff>
        </xdr:from>
        <xdr:to>
          <xdr:col>11</xdr:col>
          <xdr:colOff>523875</xdr:colOff>
          <xdr:row>21</xdr:row>
          <xdr:rowOff>400050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104776</xdr:colOff>
      <xdr:row>6</xdr:row>
      <xdr:rowOff>247649</xdr:rowOff>
    </xdr:from>
    <xdr:to>
      <xdr:col>8</xdr:col>
      <xdr:colOff>295276</xdr:colOff>
      <xdr:row>14</xdr:row>
      <xdr:rowOff>85724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2</xdr:row>
      <xdr:rowOff>95249</xdr:rowOff>
    </xdr:from>
    <xdr:to>
      <xdr:col>8</xdr:col>
      <xdr:colOff>200025</xdr:colOff>
      <xdr:row>3</xdr:row>
      <xdr:rowOff>190499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3295650" y="752474"/>
          <a:ext cx="3686175" cy="390525"/>
        </a:xfrm>
        <a:prstGeom prst="wedgeRoundRectCallout">
          <a:avLst>
            <a:gd name="adj1" fmla="val 67505"/>
            <a:gd name="adj2" fmla="val -9912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=ЭКСП.РАСП(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333376</xdr:colOff>
      <xdr:row>4</xdr:row>
      <xdr:rowOff>152399</xdr:rowOff>
    </xdr:from>
    <xdr:to>
      <xdr:col>8</xdr:col>
      <xdr:colOff>142876</xdr:colOff>
      <xdr:row>6</xdr:row>
      <xdr:rowOff>142875</xdr:rowOff>
    </xdr:to>
    <xdr:sp macro="" textlink="">
      <xdr:nvSpPr>
        <xdr:cNvPr id="10" name="Скругленная прямоугольная выноска 9"/>
        <xdr:cNvSpPr/>
      </xdr:nvSpPr>
      <xdr:spPr>
        <a:xfrm>
          <a:off x="3248026" y="1362074"/>
          <a:ext cx="3676650" cy="504826"/>
        </a:xfrm>
        <a:prstGeom prst="wedgeRoundRectCallout">
          <a:avLst>
            <a:gd name="adj1" fmla="val 107020"/>
            <a:gd name="adj2" fmla="val -200708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=ЭКСП.РАСП(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123824</xdr:colOff>
      <xdr:row>15</xdr:row>
      <xdr:rowOff>57149</xdr:rowOff>
    </xdr:from>
    <xdr:to>
      <xdr:col>8</xdr:col>
      <xdr:colOff>380999</xdr:colOff>
      <xdr:row>21</xdr:row>
      <xdr:rowOff>276225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8</xdr:row>
      <xdr:rowOff>95250</xdr:rowOff>
    </xdr:from>
    <xdr:to>
      <xdr:col>10</xdr:col>
      <xdr:colOff>371475</xdr:colOff>
      <xdr:row>19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2</xdr:row>
      <xdr:rowOff>238125</xdr:rowOff>
    </xdr:from>
    <xdr:to>
      <xdr:col>10</xdr:col>
      <xdr:colOff>19050</xdr:colOff>
      <xdr:row>4</xdr:row>
      <xdr:rowOff>114300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4181475" y="1447800"/>
          <a:ext cx="4752975" cy="390525"/>
        </a:xfrm>
        <a:prstGeom prst="wedgeRoundRectCallout">
          <a:avLst>
            <a:gd name="adj1" fmla="val -69446"/>
            <a:gd name="adj2" fmla="val -12839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=БИНОМ.РАСП(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171450</xdr:colOff>
      <xdr:row>6</xdr:row>
      <xdr:rowOff>28575</xdr:rowOff>
    </xdr:from>
    <xdr:to>
      <xdr:col>9</xdr:col>
      <xdr:colOff>95250</xdr:colOff>
      <xdr:row>7</xdr:row>
      <xdr:rowOff>161925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609975" y="2266950"/>
          <a:ext cx="4791075" cy="390525"/>
        </a:xfrm>
        <a:prstGeom prst="wedgeRoundRectCallout">
          <a:avLst>
            <a:gd name="adj1" fmla="val -85550"/>
            <a:gd name="adj2" fmla="val -33815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=БИНОМ.РАСП(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142875</xdr:colOff>
      <xdr:row>0</xdr:row>
      <xdr:rowOff>552450</xdr:rowOff>
    </xdr:from>
    <xdr:to>
      <xdr:col>10</xdr:col>
      <xdr:colOff>361950</xdr:colOff>
      <xdr:row>1</xdr:row>
      <xdr:rowOff>57150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6619875" y="552450"/>
          <a:ext cx="2657475" cy="390525"/>
        </a:xfrm>
        <a:prstGeom prst="wedgeRoundRectCallout">
          <a:avLst>
            <a:gd name="adj1" fmla="val 63904"/>
            <a:gd name="adj2" fmla="val 5453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B$2:B2)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8</xdr:row>
      <xdr:rowOff>95250</xdr:rowOff>
    </xdr:from>
    <xdr:to>
      <xdr:col>10</xdr:col>
      <xdr:colOff>371475</xdr:colOff>
      <xdr:row>19</xdr:row>
      <xdr:rowOff>9525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2</xdr:row>
      <xdr:rowOff>161925</xdr:rowOff>
    </xdr:from>
    <xdr:to>
      <xdr:col>10</xdr:col>
      <xdr:colOff>57150</xdr:colOff>
      <xdr:row>4</xdr:row>
      <xdr:rowOff>38100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4219575" y="1371600"/>
          <a:ext cx="4752975" cy="390525"/>
        </a:xfrm>
        <a:prstGeom prst="wedgeRoundRectCallout">
          <a:avLst>
            <a:gd name="adj1" fmla="val -69446"/>
            <a:gd name="adj2" fmla="val -12839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=ПУАССОН.РАСП(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228600</xdr:colOff>
      <xdr:row>5</xdr:row>
      <xdr:rowOff>200025</xdr:rowOff>
    </xdr:from>
    <xdr:to>
      <xdr:col>8</xdr:col>
      <xdr:colOff>419100</xdr:colOff>
      <xdr:row>7</xdr:row>
      <xdr:rowOff>76200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733800" y="2181225"/>
          <a:ext cx="4448175" cy="390525"/>
        </a:xfrm>
        <a:prstGeom prst="wedgeRoundRectCallout">
          <a:avLst>
            <a:gd name="adj1" fmla="val -85550"/>
            <a:gd name="adj2" fmla="val -33815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=ПУАССОН.РАСП(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209551</xdr:colOff>
      <xdr:row>0</xdr:row>
      <xdr:rowOff>19050</xdr:rowOff>
    </xdr:from>
    <xdr:to>
      <xdr:col>10</xdr:col>
      <xdr:colOff>38100</xdr:colOff>
      <xdr:row>0</xdr:row>
      <xdr:rowOff>733425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6" y="19050"/>
          <a:ext cx="2266949" cy="71437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0</xdr:row>
      <xdr:rowOff>742950</xdr:rowOff>
    </xdr:from>
    <xdr:to>
      <xdr:col>11</xdr:col>
      <xdr:colOff>57151</xdr:colOff>
      <xdr:row>1</xdr:row>
      <xdr:rowOff>247650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4257675" y="742950"/>
          <a:ext cx="5391151" cy="390525"/>
        </a:xfrm>
        <a:prstGeom prst="wedgeRoundRectCallout">
          <a:avLst>
            <a:gd name="adj1" fmla="val 54492"/>
            <a:gd name="adj2" fmla="val 2038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=($F$1)^A2*EXP(-$F$1)/</a:t>
          </a:r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ФАКТР(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296334</xdr:colOff>
      <xdr:row>20</xdr:row>
      <xdr:rowOff>126998</xdr:rowOff>
    </xdr:from>
    <xdr:to>
      <xdr:col>10</xdr:col>
      <xdr:colOff>497419</xdr:colOff>
      <xdr:row>22</xdr:row>
      <xdr:rowOff>3173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6836834" y="5916081"/>
          <a:ext cx="2656418" cy="384175"/>
        </a:xfrm>
        <a:prstGeom prst="wedgeRoundRectCallout">
          <a:avLst>
            <a:gd name="adj1" fmla="val 102205"/>
            <a:gd name="adj2" fmla="val -131611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L$2:L2)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366183</xdr:colOff>
      <xdr:row>6</xdr:row>
      <xdr:rowOff>115359</xdr:rowOff>
    </xdr:from>
    <xdr:to>
      <xdr:col>6</xdr:col>
      <xdr:colOff>116416</xdr:colOff>
      <xdr:row>7</xdr:row>
      <xdr:rowOff>245534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858683" y="2475442"/>
          <a:ext cx="2798233" cy="384175"/>
        </a:xfrm>
        <a:prstGeom prst="wedgeRoundRectCallout">
          <a:avLst>
            <a:gd name="adj1" fmla="val -120346"/>
            <a:gd name="adj2" fmla="val -38222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C$2:C2)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354541</xdr:colOff>
      <xdr:row>2</xdr:row>
      <xdr:rowOff>139700</xdr:rowOff>
    </xdr:from>
    <xdr:to>
      <xdr:col>6</xdr:col>
      <xdr:colOff>571500</xdr:colOff>
      <xdr:row>4</xdr:row>
      <xdr:rowOff>25400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3847041" y="1483783"/>
          <a:ext cx="3264959" cy="393700"/>
        </a:xfrm>
        <a:prstGeom prst="wedgeRoundRectCallout">
          <a:avLst>
            <a:gd name="adj1" fmla="val -67064"/>
            <a:gd name="adj2" fmla="val -11402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=$F$1*(1-$F$1)^(A2-1)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550334</xdr:colOff>
      <xdr:row>8</xdr:row>
      <xdr:rowOff>137584</xdr:rowOff>
    </xdr:from>
    <xdr:to>
      <xdr:col>7</xdr:col>
      <xdr:colOff>359834</xdr:colOff>
      <xdr:row>20</xdr:row>
      <xdr:rowOff>243417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14</xdr:row>
          <xdr:rowOff>76200</xdr:rowOff>
        </xdr:from>
        <xdr:to>
          <xdr:col>0</xdr:col>
          <xdr:colOff>3095625</xdr:colOff>
          <xdr:row>16</xdr:row>
          <xdr:rowOff>9525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</xdr:col>
      <xdr:colOff>371476</xdr:colOff>
      <xdr:row>11</xdr:row>
      <xdr:rowOff>171450</xdr:rowOff>
    </xdr:from>
    <xdr:to>
      <xdr:col>7</xdr:col>
      <xdr:colOff>0</xdr:colOff>
      <xdr:row>13</xdr:row>
      <xdr:rowOff>76200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5191126" y="4371975"/>
          <a:ext cx="3905249" cy="352425"/>
        </a:xfrm>
        <a:prstGeom prst="wedgeRoundRectCallout">
          <a:avLst>
            <a:gd name="adj1" fmla="val -68812"/>
            <a:gd name="adj2" fmla="val -21047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=ГИПЕРГЕОМ.РАСП(</a:t>
          </a:r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B4;$B$2;$B$3;$B$1;0)</a:t>
          </a:r>
          <a:endParaRPr lang="ru-RU" sz="18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295275</xdr:colOff>
      <xdr:row>13</xdr:row>
      <xdr:rowOff>200025</xdr:rowOff>
    </xdr:from>
    <xdr:to>
      <xdr:col>7</xdr:col>
      <xdr:colOff>590550</xdr:colOff>
      <xdr:row>23</xdr:row>
      <xdr:rowOff>190499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4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27" sqref="D27"/>
    </sheetView>
  </sheetViews>
  <sheetFormatPr defaultRowHeight="15" x14ac:dyDescent="0.25"/>
  <cols>
    <col min="2" max="2" width="19.42578125" bestFit="1" customWidth="1"/>
    <col min="3" max="3" width="12" bestFit="1" customWidth="1"/>
    <col min="8" max="8" width="14.5703125" customWidth="1"/>
  </cols>
  <sheetData>
    <row r="1" spans="1:6" ht="27.75" x14ac:dyDescent="0.4">
      <c r="A1" s="2" t="s">
        <v>0</v>
      </c>
      <c r="B1" s="2" t="s">
        <v>1</v>
      </c>
      <c r="C1" s="2" t="s">
        <v>2</v>
      </c>
      <c r="E1" s="11" t="s">
        <v>3</v>
      </c>
      <c r="F1" s="12">
        <v>25</v>
      </c>
    </row>
    <row r="2" spans="1:6" ht="27.75" x14ac:dyDescent="0.4">
      <c r="A2" s="2">
        <v>11</v>
      </c>
      <c r="B2" s="2">
        <f>_xlfn.NORM.DIST(A2,$F$1,$F$2,0)</f>
        <v>3.2276123811628609E-20</v>
      </c>
      <c r="C2" s="2">
        <f>_xlfn.NORM.DIST(A2,$F$1,$F$2,1)</f>
        <v>5.1296284709591474E-21</v>
      </c>
      <c r="E2" s="13" t="s">
        <v>9</v>
      </c>
      <c r="F2" s="12">
        <v>1.5</v>
      </c>
    </row>
    <row r="3" spans="1:6" ht="20.25" x14ac:dyDescent="0.3">
      <c r="A3" s="2">
        <v>12</v>
      </c>
      <c r="B3" s="2">
        <f t="shared" ref="B3:B23" si="0">_xlfn.NORM.DIST(A3,$F$1,$F$2,0)</f>
        <v>1.3021117687947652E-17</v>
      </c>
      <c r="C3" s="2">
        <f t="shared" ref="C3:C23" si="1">_xlfn.NORM.DIST(A3,$F$1,$F$2,1)</f>
        <v>2.2247759785104368E-18</v>
      </c>
    </row>
    <row r="4" spans="1:6" ht="20.25" x14ac:dyDescent="0.3">
      <c r="A4" s="2">
        <v>13</v>
      </c>
      <c r="B4" s="2">
        <f t="shared" si="0"/>
        <v>3.3681807223579286E-15</v>
      </c>
      <c r="C4" s="2">
        <f t="shared" si="1"/>
        <v>6.2209605742717375E-16</v>
      </c>
    </row>
    <row r="5" spans="1:6" ht="20.25" x14ac:dyDescent="0.3">
      <c r="A5" s="2">
        <v>14</v>
      </c>
      <c r="B5" s="2">
        <f t="shared" si="0"/>
        <v>5.5862804867931224E-13</v>
      </c>
      <c r="C5" s="2">
        <f t="shared" si="1"/>
        <v>1.1224881271355515E-13</v>
      </c>
    </row>
    <row r="6" spans="1:6" ht="20.25" x14ac:dyDescent="0.3">
      <c r="A6" s="2">
        <v>15</v>
      </c>
      <c r="B6" s="2">
        <f t="shared" si="0"/>
        <v>5.9406001249014352E-11</v>
      </c>
      <c r="C6" s="2">
        <f t="shared" si="1"/>
        <v>1.3083924686052984E-11</v>
      </c>
    </row>
    <row r="7" spans="1:6" ht="20.25" x14ac:dyDescent="0.3">
      <c r="A7" s="2">
        <v>16</v>
      </c>
      <c r="B7" s="2">
        <f t="shared" si="0"/>
        <v>4.0505885665488571E-9</v>
      </c>
      <c r="C7" s="2">
        <f t="shared" si="1"/>
        <v>9.8658764503769437E-10</v>
      </c>
    </row>
    <row r="8" spans="1:6" ht="20.25" x14ac:dyDescent="0.3">
      <c r="A8" s="2">
        <v>17</v>
      </c>
      <c r="B8" s="2">
        <f t="shared" si="0"/>
        <v>1.7708679390146084E-7</v>
      </c>
      <c r="C8" s="2">
        <f t="shared" si="1"/>
        <v>4.8213033651141262E-8</v>
      </c>
    </row>
    <row r="9" spans="1:6" ht="20.25" x14ac:dyDescent="0.3">
      <c r="A9" s="2">
        <v>18</v>
      </c>
      <c r="B9" s="2">
        <f t="shared" si="0"/>
        <v>4.9640305804199935E-6</v>
      </c>
      <c r="C9" s="2">
        <f t="shared" si="1"/>
        <v>1.530626736531063E-6</v>
      </c>
    </row>
    <row r="10" spans="1:6" ht="20.25" x14ac:dyDescent="0.3">
      <c r="A10" s="2">
        <v>19</v>
      </c>
      <c r="B10" s="2">
        <f t="shared" si="0"/>
        <v>8.9220150509923578E-5</v>
      </c>
      <c r="C10" s="2">
        <f t="shared" si="1"/>
        <v>3.1671241833119857E-5</v>
      </c>
    </row>
    <row r="11" spans="1:6" ht="20.25" x14ac:dyDescent="0.3">
      <c r="A11" s="2">
        <v>20</v>
      </c>
      <c r="B11" s="2">
        <f t="shared" si="0"/>
        <v>1.0281859975274036E-3</v>
      </c>
      <c r="C11" s="2">
        <f t="shared" si="1"/>
        <v>4.2906033319683703E-4</v>
      </c>
    </row>
    <row r="12" spans="1:6" ht="20.25" x14ac:dyDescent="0.3">
      <c r="A12" s="2">
        <v>21</v>
      </c>
      <c r="B12" s="2">
        <f t="shared" si="0"/>
        <v>7.597324015864962E-3</v>
      </c>
      <c r="C12" s="2">
        <f t="shared" si="1"/>
        <v>3.8303805675897356E-3</v>
      </c>
    </row>
    <row r="13" spans="1:6" ht="20.25" x14ac:dyDescent="0.3">
      <c r="A13" s="2">
        <v>22</v>
      </c>
      <c r="B13" s="2">
        <f t="shared" si="0"/>
        <v>3.5993977675458706E-2</v>
      </c>
      <c r="C13" s="2">
        <f t="shared" si="1"/>
        <v>2.2750131948179191E-2</v>
      </c>
    </row>
    <row r="14" spans="1:6" ht="20.25" x14ac:dyDescent="0.3">
      <c r="A14" s="2">
        <v>23</v>
      </c>
      <c r="B14" s="2">
        <f t="shared" si="0"/>
        <v>0.10934004978399575</v>
      </c>
      <c r="C14" s="2">
        <f t="shared" si="1"/>
        <v>9.1211219725867876E-2</v>
      </c>
    </row>
    <row r="15" spans="1:6" ht="20.25" x14ac:dyDescent="0.3">
      <c r="A15" s="2">
        <v>24</v>
      </c>
      <c r="B15" s="2">
        <f t="shared" si="0"/>
        <v>0.21296533701490147</v>
      </c>
      <c r="C15" s="2">
        <f t="shared" si="1"/>
        <v>0.25249253754692291</v>
      </c>
    </row>
    <row r="16" spans="1:6" ht="20.25" x14ac:dyDescent="0.3">
      <c r="A16" s="2">
        <v>25</v>
      </c>
      <c r="B16" s="2">
        <f t="shared" si="0"/>
        <v>0.26596152026762176</v>
      </c>
      <c r="C16" s="2">
        <f t="shared" si="1"/>
        <v>0.5</v>
      </c>
    </row>
    <row r="17" spans="1:3" ht="20.25" x14ac:dyDescent="0.3">
      <c r="A17" s="2">
        <v>26</v>
      </c>
      <c r="B17" s="2">
        <f t="shared" si="0"/>
        <v>0.21296533701490147</v>
      </c>
      <c r="C17" s="2">
        <f t="shared" si="1"/>
        <v>0.74750746245307709</v>
      </c>
    </row>
    <row r="18" spans="1:3" ht="20.25" x14ac:dyDescent="0.3">
      <c r="A18" s="2">
        <v>27</v>
      </c>
      <c r="B18" s="2">
        <f t="shared" si="0"/>
        <v>0.10934004978399575</v>
      </c>
      <c r="C18" s="2">
        <f t="shared" si="1"/>
        <v>0.90878878027413212</v>
      </c>
    </row>
    <row r="19" spans="1:3" ht="20.25" x14ac:dyDescent="0.3">
      <c r="A19" s="2">
        <v>28</v>
      </c>
      <c r="B19" s="2">
        <f t="shared" si="0"/>
        <v>3.5993977675458706E-2</v>
      </c>
      <c r="C19" s="2">
        <f t="shared" si="1"/>
        <v>0.97724986805182079</v>
      </c>
    </row>
    <row r="20" spans="1:3" ht="20.25" x14ac:dyDescent="0.3">
      <c r="A20" s="2">
        <v>29</v>
      </c>
      <c r="B20" s="2">
        <f t="shared" si="0"/>
        <v>7.597324015864962E-3</v>
      </c>
      <c r="C20" s="2">
        <f t="shared" si="1"/>
        <v>0.99616961943241022</v>
      </c>
    </row>
    <row r="21" spans="1:3" ht="20.25" x14ac:dyDescent="0.3">
      <c r="A21" s="2">
        <v>30</v>
      </c>
      <c r="B21" s="2">
        <f t="shared" si="0"/>
        <v>1.0281859975274036E-3</v>
      </c>
      <c r="C21" s="2">
        <f t="shared" si="1"/>
        <v>0.99957093966680322</v>
      </c>
    </row>
    <row r="22" spans="1:3" ht="20.25" x14ac:dyDescent="0.3">
      <c r="A22" s="2">
        <v>31</v>
      </c>
      <c r="B22" s="2">
        <f t="shared" si="0"/>
        <v>8.9220150509923578E-5</v>
      </c>
      <c r="C22" s="2">
        <f t="shared" si="1"/>
        <v>0.99996832875816688</v>
      </c>
    </row>
    <row r="23" spans="1:3" ht="20.25" x14ac:dyDescent="0.3">
      <c r="A23" s="2">
        <v>32</v>
      </c>
      <c r="B23" s="2">
        <f t="shared" si="0"/>
        <v>4.9640305804199935E-6</v>
      </c>
      <c r="C23" s="2">
        <f t="shared" si="1"/>
        <v>0.99999846937326342</v>
      </c>
    </row>
  </sheetData>
  <sortState ref="G1:G20">
    <sortCondition ref="G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E25" sqref="E25"/>
    </sheetView>
  </sheetViews>
  <sheetFormatPr defaultRowHeight="20.25" x14ac:dyDescent="0.3"/>
  <cols>
    <col min="1" max="1" width="11.5703125" style="1" bestFit="1" customWidth="1"/>
    <col min="2" max="3" width="13.42578125" style="1" customWidth="1"/>
    <col min="4" max="16384" width="9.140625" style="1"/>
  </cols>
  <sheetData>
    <row r="1" spans="1:14" x14ac:dyDescent="0.3">
      <c r="A1" s="3" t="s">
        <v>3</v>
      </c>
      <c r="B1" s="4">
        <v>1</v>
      </c>
      <c r="C1" s="3" t="s">
        <v>4</v>
      </c>
      <c r="D1" s="4">
        <v>4</v>
      </c>
    </row>
    <row r="2" spans="1:14" x14ac:dyDescent="0.3">
      <c r="A2" s="2" t="s">
        <v>0</v>
      </c>
      <c r="B2" s="2" t="s">
        <v>2</v>
      </c>
      <c r="C2" s="2" t="s">
        <v>1</v>
      </c>
    </row>
    <row r="3" spans="1:14" x14ac:dyDescent="0.3">
      <c r="A3" s="2">
        <v>0</v>
      </c>
      <c r="B3" s="5">
        <f t="shared" ref="B3:B15" si="0">IF(A3&lt;=$B$1,0,IF(A3&lt;=$D$1,(A3-$B$1)/($D$1-$B$1),1))</f>
        <v>0</v>
      </c>
      <c r="C3" s="5">
        <f t="shared" ref="C3:C15" si="1">IF(A3&lt;$B$1, 0, IF(A3&lt;=$D$1,(1/($D$1-$B$1)),0))</f>
        <v>0</v>
      </c>
      <c r="N3" s="2"/>
    </row>
    <row r="4" spans="1:14" x14ac:dyDescent="0.3">
      <c r="A4" s="2">
        <v>0.5</v>
      </c>
      <c r="B4" s="5">
        <f t="shared" si="0"/>
        <v>0</v>
      </c>
      <c r="C4" s="5">
        <f t="shared" si="1"/>
        <v>0</v>
      </c>
      <c r="N4" s="2"/>
    </row>
    <row r="5" spans="1:14" x14ac:dyDescent="0.3">
      <c r="A5" s="2">
        <v>1</v>
      </c>
      <c r="B5" s="5">
        <f t="shared" si="0"/>
        <v>0</v>
      </c>
      <c r="C5" s="5">
        <f t="shared" si="1"/>
        <v>0.33333333333333331</v>
      </c>
      <c r="N5" s="2"/>
    </row>
    <row r="6" spans="1:14" x14ac:dyDescent="0.3">
      <c r="A6" s="2">
        <v>1.5</v>
      </c>
      <c r="B6" s="5">
        <f t="shared" si="0"/>
        <v>0.16666666666666666</v>
      </c>
      <c r="C6" s="5">
        <f t="shared" si="1"/>
        <v>0.33333333333333331</v>
      </c>
      <c r="N6" s="2"/>
    </row>
    <row r="7" spans="1:14" x14ac:dyDescent="0.3">
      <c r="A7" s="2">
        <v>2</v>
      </c>
      <c r="B7" s="5">
        <f t="shared" si="0"/>
        <v>0.33333333333333331</v>
      </c>
      <c r="C7" s="5">
        <f t="shared" si="1"/>
        <v>0.33333333333333331</v>
      </c>
      <c r="N7" s="2"/>
    </row>
    <row r="8" spans="1:14" x14ac:dyDescent="0.3">
      <c r="A8" s="2">
        <v>2.5</v>
      </c>
      <c r="B8" s="5">
        <f t="shared" si="0"/>
        <v>0.5</v>
      </c>
      <c r="C8" s="5">
        <f t="shared" si="1"/>
        <v>0.33333333333333331</v>
      </c>
      <c r="N8" s="2"/>
    </row>
    <row r="9" spans="1:14" x14ac:dyDescent="0.3">
      <c r="A9" s="2">
        <v>3</v>
      </c>
      <c r="B9" s="5">
        <f t="shared" si="0"/>
        <v>0.66666666666666663</v>
      </c>
      <c r="C9" s="5">
        <f t="shared" si="1"/>
        <v>0.33333333333333331</v>
      </c>
      <c r="N9" s="2"/>
    </row>
    <row r="10" spans="1:14" x14ac:dyDescent="0.3">
      <c r="A10" s="2">
        <v>3.5</v>
      </c>
      <c r="B10" s="5">
        <f t="shared" si="0"/>
        <v>0.83333333333333337</v>
      </c>
      <c r="C10" s="5">
        <f t="shared" si="1"/>
        <v>0.33333333333333331</v>
      </c>
      <c r="N10" s="2"/>
    </row>
    <row r="11" spans="1:14" x14ac:dyDescent="0.3">
      <c r="A11" s="2">
        <v>4</v>
      </c>
      <c r="B11" s="5">
        <f t="shared" si="0"/>
        <v>1</v>
      </c>
      <c r="C11" s="5">
        <f t="shared" si="1"/>
        <v>0.33333333333333331</v>
      </c>
      <c r="N11" s="2"/>
    </row>
    <row r="12" spans="1:14" x14ac:dyDescent="0.3">
      <c r="A12" s="2">
        <v>4.5</v>
      </c>
      <c r="B12" s="5">
        <f t="shared" si="0"/>
        <v>1</v>
      </c>
      <c r="C12" s="5">
        <f t="shared" si="1"/>
        <v>0</v>
      </c>
      <c r="N12" s="2"/>
    </row>
    <row r="13" spans="1:14" x14ac:dyDescent="0.3">
      <c r="A13" s="2">
        <v>5</v>
      </c>
      <c r="B13" s="5">
        <f t="shared" si="0"/>
        <v>1</v>
      </c>
      <c r="C13" s="5">
        <f t="shared" si="1"/>
        <v>0</v>
      </c>
      <c r="N13" s="2"/>
    </row>
    <row r="14" spans="1:14" x14ac:dyDescent="0.3">
      <c r="A14" s="2">
        <v>5.5</v>
      </c>
      <c r="B14" s="5">
        <f t="shared" si="0"/>
        <v>1</v>
      </c>
      <c r="C14" s="5">
        <f t="shared" si="1"/>
        <v>0</v>
      </c>
      <c r="N14" s="2"/>
    </row>
    <row r="15" spans="1:14" x14ac:dyDescent="0.3">
      <c r="A15" s="2">
        <v>6</v>
      </c>
      <c r="B15" s="5">
        <f t="shared" si="0"/>
        <v>1</v>
      </c>
      <c r="C15" s="5">
        <f t="shared" si="1"/>
        <v>0</v>
      </c>
      <c r="N15" s="2"/>
    </row>
  </sheetData>
  <sortState ref="N4:N15">
    <sortCondition ref="N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"/>
  <sheetViews>
    <sheetView workbookViewId="0">
      <selection activeCell="C23" sqref="C23"/>
    </sheetView>
  </sheetViews>
  <sheetFormatPr defaultRowHeight="37.5" customHeight="1" x14ac:dyDescent="0.25"/>
  <cols>
    <col min="1" max="1" width="9.140625" style="6"/>
    <col min="2" max="2" width="19.42578125" style="6" bestFit="1" customWidth="1"/>
    <col min="3" max="3" width="15.140625" style="6" bestFit="1" customWidth="1"/>
    <col min="4" max="4" width="15.42578125" style="6" bestFit="1" customWidth="1"/>
    <col min="5" max="5" width="15.140625" style="6" customWidth="1"/>
    <col min="6" max="9" width="9.140625" style="6"/>
    <col min="10" max="10" width="19.42578125" style="6" bestFit="1" customWidth="1"/>
    <col min="11" max="11" width="18.85546875" style="6" bestFit="1" customWidth="1"/>
    <col min="12" max="16384" width="9.140625" style="6"/>
  </cols>
  <sheetData>
    <row r="1" spans="1:11" ht="30" customHeight="1" x14ac:dyDescent="0.25">
      <c r="A1" s="9" t="s">
        <v>5</v>
      </c>
      <c r="B1" s="10" t="s">
        <v>6</v>
      </c>
      <c r="C1" s="9" t="s">
        <v>2</v>
      </c>
      <c r="D1" s="7" t="s">
        <v>8</v>
      </c>
      <c r="E1" s="6">
        <v>2</v>
      </c>
      <c r="J1" s="10" t="s">
        <v>6</v>
      </c>
      <c r="K1" s="9" t="s">
        <v>2</v>
      </c>
    </row>
    <row r="2" spans="1:11" ht="21.75" customHeight="1" x14ac:dyDescent="0.25">
      <c r="A2" s="9">
        <v>0</v>
      </c>
      <c r="B2" s="9">
        <f>$E$2*EXP(-$E$2*A2)</f>
        <v>0.5</v>
      </c>
      <c r="C2" s="9">
        <f>1-EXP(-$E$2*A2)</f>
        <v>0</v>
      </c>
      <c r="D2" s="6" t="s">
        <v>7</v>
      </c>
      <c r="E2" s="8">
        <f>1/E1</f>
        <v>0.5</v>
      </c>
      <c r="J2" s="9">
        <f>E5</f>
        <v>0</v>
      </c>
      <c r="K2" s="9">
        <f t="shared" ref="K2:K20" si="0">_xlfn.EXPON.DIST(A2,$E$2,1)</f>
        <v>0</v>
      </c>
    </row>
    <row r="3" spans="1:11" ht="23.25" customHeight="1" x14ac:dyDescent="0.25">
      <c r="A3" s="9">
        <v>1</v>
      </c>
      <c r="B3" s="9">
        <f t="shared" ref="B3:B20" si="1">$E$2*EXP(-$E$2*A3)</f>
        <v>0.30326532985631671</v>
      </c>
      <c r="C3" s="9">
        <f t="shared" ref="C3:C15" si="2">1-EXP(-$E$2*A3)</f>
        <v>0.39346934028736658</v>
      </c>
      <c r="J3" s="9">
        <f t="shared" ref="J3:J20" si="3">_xlfn.EXPON.DIST(A3,$E$2,0)</f>
        <v>0.30326532985631671</v>
      </c>
      <c r="K3" s="9">
        <f t="shared" si="0"/>
        <v>0.39346934028736658</v>
      </c>
    </row>
    <row r="4" spans="1:11" ht="20.25" x14ac:dyDescent="0.25">
      <c r="A4" s="9">
        <v>2</v>
      </c>
      <c r="B4" s="9">
        <f t="shared" si="1"/>
        <v>0.18393972058572117</v>
      </c>
      <c r="C4" s="9">
        <f t="shared" si="2"/>
        <v>0.63212055882855767</v>
      </c>
      <c r="J4" s="9">
        <f t="shared" si="3"/>
        <v>0.18393972058572117</v>
      </c>
      <c r="K4" s="9">
        <f t="shared" si="0"/>
        <v>0.63212055882855767</v>
      </c>
    </row>
    <row r="5" spans="1:11" ht="20.25" x14ac:dyDescent="0.25">
      <c r="A5" s="9">
        <v>3</v>
      </c>
      <c r="B5" s="9">
        <f t="shared" si="1"/>
        <v>0.11156508007421491</v>
      </c>
      <c r="C5" s="9">
        <f t="shared" si="2"/>
        <v>0.77686983985157021</v>
      </c>
      <c r="J5" s="9">
        <f t="shared" si="3"/>
        <v>0.11156508007421491</v>
      </c>
      <c r="K5" s="9">
        <f t="shared" si="0"/>
        <v>0.77686983985157021</v>
      </c>
    </row>
    <row r="6" spans="1:11" ht="20.25" x14ac:dyDescent="0.25">
      <c r="A6" s="9">
        <v>4</v>
      </c>
      <c r="B6" s="9">
        <f t="shared" si="1"/>
        <v>6.7667641618306351E-2</v>
      </c>
      <c r="C6" s="9">
        <f t="shared" si="2"/>
        <v>0.8646647167633873</v>
      </c>
      <c r="J6" s="9">
        <f t="shared" si="3"/>
        <v>6.7667641618306351E-2</v>
      </c>
      <c r="K6" s="9">
        <f t="shared" si="0"/>
        <v>0.8646647167633873</v>
      </c>
    </row>
    <row r="7" spans="1:11" ht="20.25" x14ac:dyDescent="0.25">
      <c r="A7" s="9">
        <v>5</v>
      </c>
      <c r="B7" s="9">
        <f t="shared" si="1"/>
        <v>4.10424993119494E-2</v>
      </c>
      <c r="C7" s="9">
        <f t="shared" si="2"/>
        <v>0.91791500137610116</v>
      </c>
      <c r="J7" s="9">
        <f t="shared" si="3"/>
        <v>4.10424993119494E-2</v>
      </c>
      <c r="K7" s="9">
        <f t="shared" si="0"/>
        <v>0.91791500137610116</v>
      </c>
    </row>
    <row r="8" spans="1:11" ht="20.25" x14ac:dyDescent="0.25">
      <c r="A8" s="9">
        <v>6</v>
      </c>
      <c r="B8" s="9">
        <f t="shared" si="1"/>
        <v>2.4893534183931972E-2</v>
      </c>
      <c r="C8" s="9">
        <f t="shared" si="2"/>
        <v>0.95021293163213605</v>
      </c>
      <c r="J8" s="9">
        <f t="shared" si="3"/>
        <v>2.4893534183931972E-2</v>
      </c>
      <c r="K8" s="9">
        <f t="shared" si="0"/>
        <v>0.95021293163213605</v>
      </c>
    </row>
    <row r="9" spans="1:11" ht="20.25" x14ac:dyDescent="0.25">
      <c r="A9" s="9">
        <v>7</v>
      </c>
      <c r="B9" s="9">
        <f t="shared" si="1"/>
        <v>1.509869171115925E-2</v>
      </c>
      <c r="C9" s="9">
        <f t="shared" si="2"/>
        <v>0.96980261657768152</v>
      </c>
      <c r="D9"/>
      <c r="J9" s="9">
        <f t="shared" si="3"/>
        <v>1.509869171115925E-2</v>
      </c>
      <c r="K9" s="9">
        <f t="shared" si="0"/>
        <v>0.96980261657768152</v>
      </c>
    </row>
    <row r="10" spans="1:11" ht="20.25" x14ac:dyDescent="0.25">
      <c r="A10" s="9">
        <v>8</v>
      </c>
      <c r="B10" s="9">
        <f t="shared" si="1"/>
        <v>9.1578194443670893E-3</v>
      </c>
      <c r="C10" s="9">
        <f t="shared" si="2"/>
        <v>0.98168436111126578</v>
      </c>
      <c r="J10" s="9">
        <f t="shared" si="3"/>
        <v>9.1578194443670893E-3</v>
      </c>
      <c r="K10" s="9">
        <f t="shared" si="0"/>
        <v>0.98168436111126578</v>
      </c>
    </row>
    <row r="11" spans="1:11" ht="20.25" x14ac:dyDescent="0.25">
      <c r="A11" s="9">
        <v>9</v>
      </c>
      <c r="B11" s="9">
        <f t="shared" si="1"/>
        <v>5.554498269121153E-3</v>
      </c>
      <c r="C11" s="9">
        <f t="shared" si="2"/>
        <v>0.98889100346175773</v>
      </c>
      <c r="J11" s="9">
        <f t="shared" si="3"/>
        <v>5.554498269121153E-3</v>
      </c>
      <c r="K11" s="9">
        <f t="shared" si="0"/>
        <v>0.98889100346175773</v>
      </c>
    </row>
    <row r="12" spans="1:11" ht="20.25" x14ac:dyDescent="0.25">
      <c r="A12" s="9">
        <v>10</v>
      </c>
      <c r="B12" s="9">
        <f t="shared" si="1"/>
        <v>3.3689734995427335E-3</v>
      </c>
      <c r="C12" s="9">
        <f t="shared" si="2"/>
        <v>0.99326205300091452</v>
      </c>
      <c r="J12" s="9">
        <f t="shared" si="3"/>
        <v>3.3689734995427335E-3</v>
      </c>
      <c r="K12" s="9">
        <f t="shared" si="0"/>
        <v>0.99326205300091452</v>
      </c>
    </row>
    <row r="13" spans="1:11" ht="20.25" x14ac:dyDescent="0.25">
      <c r="A13" s="9">
        <v>11</v>
      </c>
      <c r="B13" s="9">
        <f t="shared" si="1"/>
        <v>2.0433857192320333E-3</v>
      </c>
      <c r="C13" s="9">
        <f t="shared" si="2"/>
        <v>0.99591322856153597</v>
      </c>
      <c r="J13" s="9">
        <f t="shared" si="3"/>
        <v>2.0433857192320333E-3</v>
      </c>
      <c r="K13" s="9">
        <f t="shared" si="0"/>
        <v>0.99591322856153597</v>
      </c>
    </row>
    <row r="14" spans="1:11" ht="20.25" x14ac:dyDescent="0.25">
      <c r="A14" s="9">
        <v>12</v>
      </c>
      <c r="B14" s="9">
        <f t="shared" si="1"/>
        <v>1.2393760883331792E-3</v>
      </c>
      <c r="C14" s="9">
        <f t="shared" si="2"/>
        <v>0.99752124782333362</v>
      </c>
      <c r="J14" s="9">
        <f t="shared" si="3"/>
        <v>1.2393760883331792E-3</v>
      </c>
      <c r="K14" s="9">
        <f t="shared" si="0"/>
        <v>0.99752124782333362</v>
      </c>
    </row>
    <row r="15" spans="1:11" ht="20.25" x14ac:dyDescent="0.25">
      <c r="A15" s="9">
        <v>13</v>
      </c>
      <c r="B15" s="9">
        <f t="shared" si="1"/>
        <v>7.5171959648878618E-4</v>
      </c>
      <c r="C15" s="9">
        <f t="shared" si="2"/>
        <v>0.99849656080702243</v>
      </c>
      <c r="J15" s="9">
        <f t="shared" si="3"/>
        <v>7.5171959648878618E-4</v>
      </c>
      <c r="K15" s="9">
        <f t="shared" si="0"/>
        <v>0.99849656080702243</v>
      </c>
    </row>
    <row r="16" spans="1:11" ht="20.25" x14ac:dyDescent="0.25">
      <c r="A16" s="9">
        <v>14</v>
      </c>
      <c r="B16" s="9">
        <f t="shared" si="1"/>
        <v>4.5594098277725812E-4</v>
      </c>
      <c r="C16" s="9">
        <f t="shared" ref="C16:C20" si="4">1-EXP(-$E$2*A16)</f>
        <v>0.99908811803444553</v>
      </c>
      <c r="J16" s="9">
        <f t="shared" si="3"/>
        <v>4.5594098277725812E-4</v>
      </c>
      <c r="K16" s="9">
        <f t="shared" si="0"/>
        <v>0.99908811803444553</v>
      </c>
    </row>
    <row r="17" spans="1:11" ht="20.25" x14ac:dyDescent="0.25">
      <c r="A17" s="9">
        <v>15</v>
      </c>
      <c r="B17" s="9">
        <f t="shared" si="1"/>
        <v>2.7654218507391681E-4</v>
      </c>
      <c r="C17" s="9">
        <f t="shared" si="4"/>
        <v>0.99944691562985222</v>
      </c>
      <c r="J17" s="9">
        <f t="shared" si="3"/>
        <v>2.7654218507391681E-4</v>
      </c>
      <c r="K17" s="9">
        <f t="shared" si="0"/>
        <v>0.99944691562985222</v>
      </c>
    </row>
    <row r="18" spans="1:11" ht="20.25" x14ac:dyDescent="0.25">
      <c r="A18" s="9">
        <v>16</v>
      </c>
      <c r="B18" s="9">
        <f t="shared" si="1"/>
        <v>1.6773131395125593E-4</v>
      </c>
      <c r="C18" s="9">
        <f t="shared" si="4"/>
        <v>0.99966453737209748</v>
      </c>
      <c r="J18" s="9">
        <f t="shared" si="3"/>
        <v>1.6773131395125593E-4</v>
      </c>
      <c r="K18" s="9">
        <f t="shared" si="0"/>
        <v>0.99966453737209748</v>
      </c>
    </row>
    <row r="19" spans="1:11" ht="20.25" x14ac:dyDescent="0.25">
      <c r="A19" s="9">
        <v>17</v>
      </c>
      <c r="B19" s="9">
        <f t="shared" si="1"/>
        <v>1.0173418450532208E-4</v>
      </c>
      <c r="C19" s="9">
        <f t="shared" si="4"/>
        <v>0.99979653163098936</v>
      </c>
      <c r="J19" s="9">
        <f t="shared" si="3"/>
        <v>1.0173418450532208E-4</v>
      </c>
      <c r="K19" s="9">
        <f t="shared" si="0"/>
        <v>0.99979653163098936</v>
      </c>
    </row>
    <row r="20" spans="1:11" ht="20.25" x14ac:dyDescent="0.25">
      <c r="A20" s="9">
        <v>18</v>
      </c>
      <c r="B20" s="9">
        <f t="shared" si="1"/>
        <v>6.1704902043339781E-5</v>
      </c>
      <c r="C20" s="9">
        <f t="shared" si="4"/>
        <v>0.99987659019591335</v>
      </c>
      <c r="J20" s="9">
        <f t="shared" si="3"/>
        <v>6.1704902043339781E-5</v>
      </c>
      <c r="K20" s="9">
        <f t="shared" si="0"/>
        <v>0.99987659019591335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074" r:id="rId3">
          <objectPr defaultSize="0" autoPict="0" r:id="rId4">
            <anchor moveWithCells="1" sizeWithCells="1">
              <from>
                <xdr:col>0</xdr:col>
                <xdr:colOff>57150</xdr:colOff>
                <xdr:row>20</xdr:row>
                <xdr:rowOff>123825</xdr:rowOff>
              </from>
              <to>
                <xdr:col>2</xdr:col>
                <xdr:colOff>990600</xdr:colOff>
                <xdr:row>21</xdr:row>
                <xdr:rowOff>438150</xdr:rowOff>
              </to>
            </anchor>
          </objectPr>
        </oleObject>
      </mc:Choice>
      <mc:Fallback>
        <oleObject progId="Equation.3" shapeId="3074" r:id="rId3"/>
      </mc:Fallback>
    </mc:AlternateContent>
    <mc:AlternateContent xmlns:mc="http://schemas.openxmlformats.org/markup-compatibility/2006">
      <mc:Choice Requires="x14">
        <oleObject progId="Equation.3" shapeId="3075" r:id="rId5">
          <objectPr defaultSize="0" autoPict="0" r:id="rId6">
            <anchor moveWithCells="1" sizeWithCells="1">
              <from>
                <xdr:col>8</xdr:col>
                <xdr:colOff>561975</xdr:colOff>
                <xdr:row>20</xdr:row>
                <xdr:rowOff>114300</xdr:rowOff>
              </from>
              <to>
                <xdr:col>11</xdr:col>
                <xdr:colOff>523875</xdr:colOff>
                <xdr:row>21</xdr:row>
                <xdr:rowOff>400050</xdr:rowOff>
              </to>
            </anchor>
          </objectPr>
        </oleObject>
      </mc:Choice>
      <mc:Fallback>
        <oleObject progId="Equation.3" shapeId="3075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90" zoomScaleNormal="90" workbookViewId="0">
      <selection activeCell="G22" sqref="G22"/>
    </sheetView>
  </sheetViews>
  <sheetFormatPr defaultRowHeight="15" x14ac:dyDescent="0.25"/>
  <cols>
    <col min="1" max="1" width="12.7109375" customWidth="1"/>
    <col min="2" max="3" width="19.42578125" bestFit="1" customWidth="1"/>
    <col min="5" max="5" width="27.28515625" bestFit="1" customWidth="1"/>
    <col min="12" max="12" width="17.140625" customWidth="1"/>
  </cols>
  <sheetData>
    <row r="1" spans="1:12" ht="69.75" customHeight="1" x14ac:dyDescent="0.25">
      <c r="A1" s="14" t="s">
        <v>10</v>
      </c>
      <c r="B1" s="10" t="s">
        <v>6</v>
      </c>
      <c r="C1" s="9" t="s">
        <v>2</v>
      </c>
      <c r="E1" s="15" t="s">
        <v>11</v>
      </c>
      <c r="F1" s="16">
        <v>20</v>
      </c>
      <c r="L1" s="9" t="s">
        <v>2</v>
      </c>
    </row>
    <row r="2" spans="1:12" ht="25.5" x14ac:dyDescent="0.35">
      <c r="A2" s="9">
        <v>0</v>
      </c>
      <c r="B2" s="9">
        <f>_xlfn.BINOM.DIST(A2,$F$1,$F$2,0)</f>
        <v>9.5367431640625E-7</v>
      </c>
      <c r="C2" s="9">
        <f>_xlfn.BINOM.DIST(A2,$F$1,$F$2,1)</f>
        <v>9.5367431640625E-7</v>
      </c>
      <c r="E2" s="15" t="s">
        <v>12</v>
      </c>
      <c r="F2" s="17">
        <v>0.5</v>
      </c>
      <c r="L2" s="19">
        <f>SUM($B$2:B2)</f>
        <v>9.5367431640625E-7</v>
      </c>
    </row>
    <row r="3" spans="1:12" ht="20.25" x14ac:dyDescent="0.3">
      <c r="A3" s="9">
        <v>1</v>
      </c>
      <c r="B3" s="9">
        <f t="shared" ref="B3:B22" si="0">_xlfn.BINOM.DIST(A3,$F$1,$F$2,0)</f>
        <v>1.9073486328125034E-5</v>
      </c>
      <c r="C3" s="9">
        <f t="shared" ref="C3:C22" si="1">_xlfn.BINOM.DIST(A3,$F$1,$F$2,1)</f>
        <v>2.002716064453125E-5</v>
      </c>
      <c r="L3" s="19">
        <f>SUM($B$2:B3)</f>
        <v>2.0027160644531284E-5</v>
      </c>
    </row>
    <row r="4" spans="1:12" ht="20.25" x14ac:dyDescent="0.3">
      <c r="A4" s="9">
        <v>2</v>
      </c>
      <c r="B4" s="9">
        <f t="shared" si="0"/>
        <v>1.8119812011718755E-4</v>
      </c>
      <c r="C4" s="9">
        <f t="shared" si="1"/>
        <v>2.0122528076171875E-4</v>
      </c>
      <c r="L4" s="19">
        <f>SUM($B$2:B4)</f>
        <v>2.0122528076171883E-4</v>
      </c>
    </row>
    <row r="5" spans="1:12" ht="20.25" x14ac:dyDescent="0.3">
      <c r="A5" s="9">
        <v>3</v>
      </c>
      <c r="B5" s="9">
        <f t="shared" si="0"/>
        <v>1.0871887207031263E-3</v>
      </c>
      <c r="C5" s="9">
        <f t="shared" si="1"/>
        <v>1.2884140014648442E-3</v>
      </c>
      <c r="L5" s="19">
        <f>SUM($B$2:B5)</f>
        <v>1.2884140014648451E-3</v>
      </c>
    </row>
    <row r="6" spans="1:12" ht="20.25" x14ac:dyDescent="0.3">
      <c r="A6" s="9">
        <v>4</v>
      </c>
      <c r="B6" s="9">
        <f t="shared" si="0"/>
        <v>4.6205520629882752E-3</v>
      </c>
      <c r="C6" s="9">
        <f t="shared" si="1"/>
        <v>5.9089660644531285E-3</v>
      </c>
      <c r="L6" s="19">
        <f>SUM($B$2:B6)</f>
        <v>5.9089660644531198E-3</v>
      </c>
    </row>
    <row r="7" spans="1:12" ht="20.25" x14ac:dyDescent="0.3">
      <c r="A7" s="9">
        <v>5</v>
      </c>
      <c r="B7" s="9">
        <f t="shared" si="0"/>
        <v>1.4785766601562502E-2</v>
      </c>
      <c r="C7" s="9">
        <f t="shared" si="1"/>
        <v>2.0694732666015635E-2</v>
      </c>
      <c r="L7" s="19">
        <f>SUM($B$2:B7)</f>
        <v>2.0694732666015622E-2</v>
      </c>
    </row>
    <row r="8" spans="1:12" ht="20.25" x14ac:dyDescent="0.3">
      <c r="A8" s="9">
        <v>6</v>
      </c>
      <c r="B8" s="9">
        <f t="shared" si="0"/>
        <v>3.6964416503906257E-2</v>
      </c>
      <c r="C8" s="9">
        <f t="shared" si="1"/>
        <v>5.7659149169921903E-2</v>
      </c>
      <c r="L8" s="19">
        <f>SUM($B$2:B8)</f>
        <v>5.7659149169921875E-2</v>
      </c>
    </row>
    <row r="9" spans="1:12" ht="20.25" x14ac:dyDescent="0.3">
      <c r="A9" s="9">
        <v>7</v>
      </c>
      <c r="B9" s="9">
        <f t="shared" si="0"/>
        <v>7.3928833007812458E-2</v>
      </c>
      <c r="C9" s="9">
        <f t="shared" si="1"/>
        <v>0.13158798217773449</v>
      </c>
      <c r="L9" s="19">
        <f>SUM($B$2:B9)</f>
        <v>0.13158798217773432</v>
      </c>
    </row>
    <row r="10" spans="1:12" ht="20.25" x14ac:dyDescent="0.3">
      <c r="A10" s="9">
        <v>8</v>
      </c>
      <c r="B10" s="9">
        <f t="shared" si="0"/>
        <v>0.12013435363769531</v>
      </c>
      <c r="C10" s="9">
        <f t="shared" si="1"/>
        <v>0.25172233581542974</v>
      </c>
      <c r="L10" s="19">
        <f>SUM($B$2:B10)</f>
        <v>0.25172233581542963</v>
      </c>
    </row>
    <row r="11" spans="1:12" ht="20.25" x14ac:dyDescent="0.3">
      <c r="A11" s="9">
        <v>9</v>
      </c>
      <c r="B11" s="9">
        <f t="shared" si="0"/>
        <v>0.16017913818359369</v>
      </c>
      <c r="C11" s="9">
        <f t="shared" si="1"/>
        <v>0.41190147399902349</v>
      </c>
      <c r="L11" s="19">
        <f>SUM($B$2:B11)</f>
        <v>0.41190147399902333</v>
      </c>
    </row>
    <row r="12" spans="1:12" ht="20.25" x14ac:dyDescent="0.3">
      <c r="A12" s="9">
        <v>10</v>
      </c>
      <c r="B12" s="9">
        <f t="shared" si="0"/>
        <v>0.17619705200195307</v>
      </c>
      <c r="C12" s="9">
        <f t="shared" si="1"/>
        <v>0.58809852600097656</v>
      </c>
      <c r="L12" s="19">
        <f>SUM($B$2:B12)</f>
        <v>0.58809852600097634</v>
      </c>
    </row>
    <row r="13" spans="1:12" ht="20.25" x14ac:dyDescent="0.3">
      <c r="A13" s="9">
        <v>11</v>
      </c>
      <c r="B13" s="9">
        <f t="shared" si="0"/>
        <v>0.16017913818359369</v>
      </c>
      <c r="C13" s="9">
        <f t="shared" si="1"/>
        <v>0.74827766418457031</v>
      </c>
      <c r="L13" s="19">
        <f>SUM($B$2:B13)</f>
        <v>0.74827766418457009</v>
      </c>
    </row>
    <row r="14" spans="1:12" ht="20.25" x14ac:dyDescent="0.3">
      <c r="A14" s="9">
        <v>12</v>
      </c>
      <c r="B14" s="9">
        <f t="shared" si="0"/>
        <v>0.12013435363769531</v>
      </c>
      <c r="C14" s="9">
        <f t="shared" si="1"/>
        <v>0.86841201782226551</v>
      </c>
      <c r="L14" s="19">
        <f>SUM($B$2:B14)</f>
        <v>0.8684120178222654</v>
      </c>
    </row>
    <row r="15" spans="1:12" ht="20.25" x14ac:dyDescent="0.3">
      <c r="A15" s="9">
        <v>13</v>
      </c>
      <c r="B15" s="9">
        <f t="shared" si="0"/>
        <v>7.3928833007812472E-2</v>
      </c>
      <c r="C15" s="9">
        <f t="shared" si="1"/>
        <v>0.94234085083007813</v>
      </c>
      <c r="L15" s="19">
        <f>SUM($B$2:B15)</f>
        <v>0.9423408508300779</v>
      </c>
    </row>
    <row r="16" spans="1:12" ht="20.25" x14ac:dyDescent="0.3">
      <c r="A16" s="9">
        <v>14</v>
      </c>
      <c r="B16" s="9">
        <f t="shared" si="0"/>
        <v>3.6964416503906257E-2</v>
      </c>
      <c r="C16" s="9">
        <f t="shared" si="1"/>
        <v>0.97930526733398438</v>
      </c>
      <c r="L16" s="19">
        <f>SUM($B$2:B16)</f>
        <v>0.97930526733398415</v>
      </c>
    </row>
    <row r="17" spans="1:12" ht="20.25" x14ac:dyDescent="0.3">
      <c r="A17" s="9">
        <v>15</v>
      </c>
      <c r="B17" s="9">
        <f t="shared" si="0"/>
        <v>1.4785766601562502E-2</v>
      </c>
      <c r="C17" s="9">
        <f t="shared" si="1"/>
        <v>0.99409103393554688</v>
      </c>
      <c r="L17" s="19">
        <f>SUM($B$2:B17)</f>
        <v>0.99409103393554665</v>
      </c>
    </row>
    <row r="18" spans="1:12" ht="20.25" x14ac:dyDescent="0.3">
      <c r="A18" s="9">
        <v>16</v>
      </c>
      <c r="B18" s="9">
        <f t="shared" si="0"/>
        <v>4.6205520629882752E-3</v>
      </c>
      <c r="C18" s="9">
        <f t="shared" si="1"/>
        <v>0.99871158599853516</v>
      </c>
      <c r="L18" s="19">
        <f>SUM($B$2:B18)</f>
        <v>0.99871158599853493</v>
      </c>
    </row>
    <row r="19" spans="1:12" ht="20.25" x14ac:dyDescent="0.3">
      <c r="A19" s="9">
        <v>17</v>
      </c>
      <c r="B19" s="9">
        <f t="shared" si="0"/>
        <v>1.0871887207031261E-3</v>
      </c>
      <c r="C19" s="9">
        <f t="shared" si="1"/>
        <v>0.99979877471923828</v>
      </c>
      <c r="L19" s="19">
        <f>SUM($B$2:B19)</f>
        <v>0.99979877471923806</v>
      </c>
    </row>
    <row r="20" spans="1:12" ht="20.25" x14ac:dyDescent="0.3">
      <c r="A20" s="9">
        <v>18</v>
      </c>
      <c r="B20" s="9">
        <f t="shared" si="0"/>
        <v>1.8119812011718753E-4</v>
      </c>
      <c r="C20" s="9">
        <f t="shared" si="1"/>
        <v>0.99997997283935547</v>
      </c>
      <c r="L20" s="19">
        <f>SUM($B$2:B20)</f>
        <v>0.99997997283935525</v>
      </c>
    </row>
    <row r="21" spans="1:12" ht="20.25" x14ac:dyDescent="0.3">
      <c r="A21" s="9">
        <v>19</v>
      </c>
      <c r="B21" s="9">
        <f t="shared" si="0"/>
        <v>1.9073486328125E-5</v>
      </c>
      <c r="C21" s="9">
        <f t="shared" si="1"/>
        <v>0.99999904632568359</v>
      </c>
      <c r="L21" s="19">
        <f>SUM($B$2:B21)</f>
        <v>0.99999904632568337</v>
      </c>
    </row>
    <row r="22" spans="1:12" ht="20.25" x14ac:dyDescent="0.3">
      <c r="A22" s="9">
        <v>20</v>
      </c>
      <c r="B22" s="9">
        <f t="shared" si="0"/>
        <v>9.5367431640625E-7</v>
      </c>
      <c r="C22" s="9">
        <f t="shared" si="1"/>
        <v>1</v>
      </c>
      <c r="L22" s="19">
        <f>SUM($B$2:B22)</f>
        <v>0.99999999999999978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0" zoomScaleNormal="90" workbookViewId="0">
      <selection activeCell="E22" sqref="E22"/>
    </sheetView>
  </sheetViews>
  <sheetFormatPr defaultRowHeight="15" x14ac:dyDescent="0.25"/>
  <cols>
    <col min="1" max="1" width="13.7109375" customWidth="1"/>
    <col min="2" max="3" width="19.42578125" bestFit="1" customWidth="1"/>
    <col min="5" max="5" width="27.28515625" bestFit="1" customWidth="1"/>
    <col min="12" max="12" width="16" customWidth="1"/>
    <col min="13" max="13" width="14.140625" bestFit="1" customWidth="1"/>
  </cols>
  <sheetData>
    <row r="1" spans="1:13" ht="69.75" customHeight="1" x14ac:dyDescent="0.25">
      <c r="A1" s="14" t="s">
        <v>14</v>
      </c>
      <c r="B1" s="9" t="s">
        <v>2</v>
      </c>
      <c r="C1" s="10" t="s">
        <v>6</v>
      </c>
      <c r="E1" s="18" t="s">
        <v>13</v>
      </c>
      <c r="F1" s="16">
        <v>10</v>
      </c>
      <c r="L1" s="10" t="s">
        <v>6</v>
      </c>
      <c r="M1" s="9" t="s">
        <v>2</v>
      </c>
    </row>
    <row r="2" spans="1:13" ht="25.5" x14ac:dyDescent="0.35">
      <c r="A2" s="9">
        <v>0</v>
      </c>
      <c r="B2" s="9">
        <f>_xlfn.POISSON.DIST(A2,$F$1,1)</f>
        <v>4.5399929762484854E-5</v>
      </c>
      <c r="C2" s="9">
        <f>_xlfn.POISSON.DIST(A2,$F$1,0)</f>
        <v>4.5399929762484854E-5</v>
      </c>
      <c r="E2" s="15"/>
      <c r="F2" s="17"/>
      <c r="L2" s="2">
        <f>($F$1)^A2*EXP(-$F$1)/FACT(A2)</f>
        <v>4.5399929762484854E-5</v>
      </c>
      <c r="M2" s="2">
        <f>SUM($L$2:L2)</f>
        <v>4.5399929762484854E-5</v>
      </c>
    </row>
    <row r="3" spans="1:13" ht="20.25" x14ac:dyDescent="0.3">
      <c r="A3" s="9">
        <v>1</v>
      </c>
      <c r="B3" s="9">
        <f t="shared" ref="B3:B22" si="0">_xlfn.POISSON.DIST(A3,$F$1,1)</f>
        <v>4.9939922738733344E-4</v>
      </c>
      <c r="C3" s="9">
        <f t="shared" ref="C3:C22" si="1">_xlfn.POISSON.DIST(A3,$F$1,0)</f>
        <v>4.5399929762484861E-4</v>
      </c>
      <c r="L3" s="2">
        <f t="shared" ref="L3:L22" si="2">($F$1)^A3*EXP(-$F$1)/FACT(A3)</f>
        <v>4.5399929762484856E-4</v>
      </c>
      <c r="M3" s="2">
        <f>SUM($L$2:L3)</f>
        <v>4.9939922738733344E-4</v>
      </c>
    </row>
    <row r="4" spans="1:13" ht="20.25" x14ac:dyDescent="0.3">
      <c r="A4" s="9">
        <v>2</v>
      </c>
      <c r="B4" s="9">
        <f t="shared" si="0"/>
        <v>2.7693957155115762E-3</v>
      </c>
      <c r="C4" s="9">
        <f t="shared" si="1"/>
        <v>2.2699964881242444E-3</v>
      </c>
      <c r="L4" s="2">
        <f t="shared" si="2"/>
        <v>2.2699964881242427E-3</v>
      </c>
      <c r="M4" s="2">
        <f>SUM($L$2:L4)</f>
        <v>2.7693957155115762E-3</v>
      </c>
    </row>
    <row r="5" spans="1:13" ht="20.25" x14ac:dyDescent="0.3">
      <c r="A5" s="9">
        <v>3</v>
      </c>
      <c r="B5" s="9">
        <f t="shared" si="0"/>
        <v>1.0336050675925718E-2</v>
      </c>
      <c r="C5" s="9">
        <f t="shared" si="1"/>
        <v>7.5666549604141483E-3</v>
      </c>
      <c r="L5" s="2">
        <f t="shared" si="2"/>
        <v>7.5666549604141422E-3</v>
      </c>
      <c r="M5" s="2">
        <f>SUM($L$2:L5)</f>
        <v>1.0336050675925718E-2</v>
      </c>
    </row>
    <row r="6" spans="1:13" ht="20.25" x14ac:dyDescent="0.3">
      <c r="A6" s="9">
        <v>4</v>
      </c>
      <c r="B6" s="9">
        <f t="shared" si="0"/>
        <v>2.9252688076961065E-2</v>
      </c>
      <c r="C6" s="9">
        <f t="shared" si="1"/>
        <v>1.8916637401035354E-2</v>
      </c>
      <c r="L6" s="2">
        <f t="shared" si="2"/>
        <v>1.8916637401035354E-2</v>
      </c>
      <c r="M6" s="2">
        <f>SUM($L$2:L6)</f>
        <v>2.9252688076961072E-2</v>
      </c>
    </row>
    <row r="7" spans="1:13" ht="20.25" x14ac:dyDescent="0.3">
      <c r="A7" s="9">
        <v>5</v>
      </c>
      <c r="B7" s="9">
        <f t="shared" si="0"/>
        <v>6.7085962879031805E-2</v>
      </c>
      <c r="C7" s="9">
        <f t="shared" si="1"/>
        <v>3.7833274802070715E-2</v>
      </c>
      <c r="L7" s="2">
        <f t="shared" si="2"/>
        <v>3.7833274802070709E-2</v>
      </c>
      <c r="M7" s="2">
        <f>SUM($L$2:L7)</f>
        <v>6.7085962879031777E-2</v>
      </c>
    </row>
    <row r="8" spans="1:13" ht="20.25" x14ac:dyDescent="0.3">
      <c r="A8" s="9">
        <v>6</v>
      </c>
      <c r="B8" s="9">
        <f t="shared" si="0"/>
        <v>0.13014142088248298</v>
      </c>
      <c r="C8" s="9">
        <f t="shared" si="1"/>
        <v>6.3055458003451192E-2</v>
      </c>
      <c r="L8" s="2">
        <f t="shared" si="2"/>
        <v>6.3055458003451179E-2</v>
      </c>
      <c r="M8" s="2">
        <f>SUM($L$2:L8)</f>
        <v>0.13014142088248296</v>
      </c>
    </row>
    <row r="9" spans="1:13" ht="20.25" x14ac:dyDescent="0.3">
      <c r="A9" s="9">
        <v>7</v>
      </c>
      <c r="B9" s="9">
        <f t="shared" si="0"/>
        <v>0.22022064660169899</v>
      </c>
      <c r="C9" s="9">
        <f t="shared" si="1"/>
        <v>9.0079225719215977E-2</v>
      </c>
      <c r="L9" s="2">
        <f t="shared" si="2"/>
        <v>9.0079225719215991E-2</v>
      </c>
      <c r="M9" s="2">
        <f>SUM($L$2:L9)</f>
        <v>0.22022064660169893</v>
      </c>
    </row>
    <row r="10" spans="1:13" ht="20.25" x14ac:dyDescent="0.3">
      <c r="A10" s="9">
        <v>8</v>
      </c>
      <c r="B10" s="9">
        <f t="shared" si="0"/>
        <v>0.33281967875071894</v>
      </c>
      <c r="C10" s="9">
        <f t="shared" si="1"/>
        <v>0.11259903214901996</v>
      </c>
      <c r="L10" s="2">
        <f t="shared" si="2"/>
        <v>0.11259903214901998</v>
      </c>
      <c r="M10" s="2">
        <f>SUM($L$2:L10)</f>
        <v>0.33281967875071894</v>
      </c>
    </row>
    <row r="11" spans="1:13" ht="20.25" x14ac:dyDescent="0.3">
      <c r="A11" s="9">
        <v>9</v>
      </c>
      <c r="B11" s="9">
        <f t="shared" si="0"/>
        <v>0.45792971447185227</v>
      </c>
      <c r="C11" s="9">
        <f t="shared" si="1"/>
        <v>0.1251100357211333</v>
      </c>
      <c r="L11" s="2">
        <f t="shared" si="2"/>
        <v>0.1251100357211333</v>
      </c>
      <c r="M11" s="2">
        <f>SUM($L$2:L11)</f>
        <v>0.45792971447185227</v>
      </c>
    </row>
    <row r="12" spans="1:13" ht="20.25" x14ac:dyDescent="0.3">
      <c r="A12" s="9">
        <v>10</v>
      </c>
      <c r="B12" s="9">
        <f t="shared" si="0"/>
        <v>0.58303975019298537</v>
      </c>
      <c r="C12" s="9">
        <f t="shared" si="1"/>
        <v>0.1251100357211333</v>
      </c>
      <c r="L12" s="2">
        <f t="shared" si="2"/>
        <v>0.1251100357211333</v>
      </c>
      <c r="M12" s="2">
        <f>SUM($L$2:L12)</f>
        <v>0.5830397501929856</v>
      </c>
    </row>
    <row r="13" spans="1:13" ht="20.25" x14ac:dyDescent="0.3">
      <c r="A13" s="9">
        <v>11</v>
      </c>
      <c r="B13" s="9">
        <f t="shared" si="0"/>
        <v>0.69677614630310658</v>
      </c>
      <c r="C13" s="9">
        <f t="shared" si="1"/>
        <v>0.11373639611012118</v>
      </c>
      <c r="L13" s="2">
        <f t="shared" si="2"/>
        <v>0.11373639611012118</v>
      </c>
      <c r="M13" s="2">
        <f>SUM($L$2:L13)</f>
        <v>0.6967761463031068</v>
      </c>
    </row>
    <row r="14" spans="1:13" ht="20.25" x14ac:dyDescent="0.3">
      <c r="A14" s="9">
        <v>12</v>
      </c>
      <c r="B14" s="9">
        <f t="shared" si="0"/>
        <v>0.79155647639487436</v>
      </c>
      <c r="C14" s="9">
        <f t="shared" si="1"/>
        <v>9.4780330091767673E-2</v>
      </c>
      <c r="L14" s="2">
        <f t="shared" si="2"/>
        <v>9.4780330091767659E-2</v>
      </c>
      <c r="M14" s="2">
        <f>SUM($L$2:L14)</f>
        <v>0.79155647639487448</v>
      </c>
    </row>
    <row r="15" spans="1:13" ht="20.25" x14ac:dyDescent="0.3">
      <c r="A15" s="9">
        <v>13</v>
      </c>
      <c r="B15" s="9">
        <f t="shared" si="0"/>
        <v>0.864464422619311</v>
      </c>
      <c r="C15" s="9">
        <f t="shared" si="1"/>
        <v>7.2907946224436637E-2</v>
      </c>
      <c r="L15" s="2">
        <f t="shared" si="2"/>
        <v>7.2907946224436665E-2</v>
      </c>
      <c r="M15" s="2">
        <f>SUM($L$2:L15)</f>
        <v>0.86446442261931111</v>
      </c>
    </row>
    <row r="16" spans="1:13" ht="20.25" x14ac:dyDescent="0.3">
      <c r="A16" s="9">
        <v>14</v>
      </c>
      <c r="B16" s="9">
        <f t="shared" si="0"/>
        <v>0.9165415270653372</v>
      </c>
      <c r="C16" s="9">
        <f t="shared" si="1"/>
        <v>5.2077104446026187E-2</v>
      </c>
      <c r="L16" s="2">
        <f t="shared" si="2"/>
        <v>5.2077104446026187E-2</v>
      </c>
      <c r="M16" s="2">
        <f>SUM($L$2:L16)</f>
        <v>0.91654152706533731</v>
      </c>
    </row>
    <row r="17" spans="1:13" ht="20.25" x14ac:dyDescent="0.3">
      <c r="A17" s="9">
        <v>15</v>
      </c>
      <c r="B17" s="9">
        <f t="shared" si="0"/>
        <v>0.95125959669602134</v>
      </c>
      <c r="C17" s="9">
        <f t="shared" si="1"/>
        <v>3.4718069630684127E-2</v>
      </c>
      <c r="L17" s="2">
        <f t="shared" si="2"/>
        <v>3.4718069630684127E-2</v>
      </c>
      <c r="M17" s="2">
        <f>SUM($L$2:L17)</f>
        <v>0.95125959669602145</v>
      </c>
    </row>
    <row r="18" spans="1:13" ht="20.25" x14ac:dyDescent="0.3">
      <c r="A18" s="9">
        <v>16</v>
      </c>
      <c r="B18" s="9">
        <f t="shared" si="0"/>
        <v>0.97295839021519881</v>
      </c>
      <c r="C18" s="9">
        <f t="shared" si="1"/>
        <v>2.1698793519177549E-2</v>
      </c>
      <c r="L18" s="2">
        <f t="shared" si="2"/>
        <v>2.1698793519177577E-2</v>
      </c>
      <c r="M18" s="2">
        <f>SUM($L$2:L18)</f>
        <v>0.97295839021519903</v>
      </c>
    </row>
    <row r="19" spans="1:13" ht="20.25" x14ac:dyDescent="0.3">
      <c r="A19" s="9">
        <v>17</v>
      </c>
      <c r="B19" s="9">
        <f t="shared" si="0"/>
        <v>0.9857223864029504</v>
      </c>
      <c r="C19" s="9">
        <f t="shared" si="1"/>
        <v>1.2763996187751522E-2</v>
      </c>
      <c r="L19" s="2">
        <f t="shared" si="2"/>
        <v>1.2763996187751515E-2</v>
      </c>
      <c r="M19" s="2">
        <f>SUM($L$2:L19)</f>
        <v>0.98572238640295051</v>
      </c>
    </row>
    <row r="20" spans="1:13" ht="20.25" x14ac:dyDescent="0.3">
      <c r="A20" s="9">
        <v>18</v>
      </c>
      <c r="B20" s="9">
        <f t="shared" si="0"/>
        <v>0.99281349539614561</v>
      </c>
      <c r="C20" s="9">
        <f t="shared" si="1"/>
        <v>7.0911089931952852E-3</v>
      </c>
      <c r="L20" s="2">
        <f t="shared" si="2"/>
        <v>7.091108993195286E-3</v>
      </c>
      <c r="M20" s="2">
        <f>SUM($L$2:L20)</f>
        <v>0.99281349539614583</v>
      </c>
    </row>
    <row r="21" spans="1:13" ht="20.25" x14ac:dyDescent="0.3">
      <c r="A21" s="9">
        <v>19</v>
      </c>
      <c r="B21" s="9">
        <f t="shared" si="0"/>
        <v>0.99654565802414319</v>
      </c>
      <c r="C21" s="9">
        <f t="shared" si="1"/>
        <v>3.7321626279975249E-3</v>
      </c>
      <c r="L21" s="2">
        <f t="shared" si="2"/>
        <v>3.7321626279975192E-3</v>
      </c>
      <c r="M21" s="2">
        <f>SUM($L$2:L21)</f>
        <v>0.9965456580241433</v>
      </c>
    </row>
    <row r="22" spans="1:13" ht="20.25" x14ac:dyDescent="0.3">
      <c r="A22" s="9">
        <v>20</v>
      </c>
      <c r="B22" s="9">
        <f t="shared" si="0"/>
        <v>0.99841173933814198</v>
      </c>
      <c r="C22" s="9">
        <f t="shared" si="1"/>
        <v>1.8660813139987594E-3</v>
      </c>
      <c r="L22" s="2">
        <f t="shared" si="2"/>
        <v>1.8660813139987594E-3</v>
      </c>
      <c r="M22" s="2">
        <f>SUM($L$2:L22)</f>
        <v>0.99841173933814209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90" zoomScaleNormal="90" workbookViewId="0">
      <selection activeCell="F2" sqref="F2"/>
    </sheetView>
  </sheetViews>
  <sheetFormatPr defaultRowHeight="15" x14ac:dyDescent="0.25"/>
  <cols>
    <col min="1" max="1" width="13.7109375" customWidth="1"/>
    <col min="2" max="3" width="19.42578125" bestFit="1" customWidth="1"/>
    <col min="5" max="5" width="27.28515625" bestFit="1" customWidth="1"/>
    <col min="12" max="12" width="16" customWidth="1"/>
    <col min="13" max="13" width="14.140625" bestFit="1" customWidth="1"/>
  </cols>
  <sheetData>
    <row r="1" spans="1:13" ht="69.75" customHeight="1" x14ac:dyDescent="0.25">
      <c r="A1" s="14" t="s">
        <v>14</v>
      </c>
      <c r="B1" s="9" t="s">
        <v>2</v>
      </c>
      <c r="C1" s="10" t="s">
        <v>6</v>
      </c>
      <c r="E1" s="20" t="s">
        <v>15</v>
      </c>
      <c r="F1" s="16">
        <v>0.6</v>
      </c>
      <c r="L1" s="22"/>
      <c r="M1" s="23"/>
    </row>
    <row r="2" spans="1:13" ht="36" x14ac:dyDescent="0.45">
      <c r="A2" s="9">
        <v>1</v>
      </c>
      <c r="B2" s="9">
        <f>SUM($C$2:C2)</f>
        <v>0.6</v>
      </c>
      <c r="C2" s="9">
        <f>$F$1*(1-$F$1)^(A2-1)</f>
        <v>0.6</v>
      </c>
      <c r="E2" s="21" t="s">
        <v>16</v>
      </c>
      <c r="F2" s="17"/>
      <c r="L2" s="24"/>
      <c r="M2" s="24"/>
    </row>
    <row r="3" spans="1:13" ht="20.25" x14ac:dyDescent="0.3">
      <c r="A3" s="9">
        <v>2</v>
      </c>
      <c r="B3" s="9">
        <f>SUM($C$2:C3)</f>
        <v>0.84</v>
      </c>
      <c r="C3" s="9">
        <f t="shared" ref="C3:C21" si="0">$F$1*(1-$F$1)^(A3-1)</f>
        <v>0.24</v>
      </c>
      <c r="L3" s="24"/>
      <c r="M3" s="24"/>
    </row>
    <row r="4" spans="1:13" ht="20.25" x14ac:dyDescent="0.3">
      <c r="A4" s="9">
        <v>3</v>
      </c>
      <c r="B4" s="9">
        <f>SUM($C$2:C4)</f>
        <v>0.93599999999999994</v>
      </c>
      <c r="C4" s="9">
        <f t="shared" si="0"/>
        <v>9.6000000000000016E-2</v>
      </c>
      <c r="L4" s="24"/>
      <c r="M4" s="24"/>
    </row>
    <row r="5" spans="1:13" ht="20.25" x14ac:dyDescent="0.3">
      <c r="A5" s="9">
        <v>4</v>
      </c>
      <c r="B5" s="9">
        <f>SUM($C$2:C5)</f>
        <v>0.97439999999999993</v>
      </c>
      <c r="C5" s="9">
        <f t="shared" si="0"/>
        <v>3.8400000000000011E-2</v>
      </c>
      <c r="L5" s="24"/>
      <c r="M5" s="24"/>
    </row>
    <row r="6" spans="1:13" ht="20.25" x14ac:dyDescent="0.3">
      <c r="A6" s="9">
        <v>5</v>
      </c>
      <c r="B6" s="9">
        <f>SUM($C$2:C6)</f>
        <v>0.98975999999999997</v>
      </c>
      <c r="C6" s="9">
        <f t="shared" si="0"/>
        <v>1.5360000000000006E-2</v>
      </c>
      <c r="L6" s="24"/>
      <c r="M6" s="24"/>
    </row>
    <row r="7" spans="1:13" ht="20.25" x14ac:dyDescent="0.3">
      <c r="A7" s="9">
        <v>6</v>
      </c>
      <c r="B7" s="9">
        <f>SUM($C$2:C7)</f>
        <v>0.99590400000000001</v>
      </c>
      <c r="C7" s="9">
        <f t="shared" si="0"/>
        <v>6.1440000000000036E-3</v>
      </c>
      <c r="L7" s="24"/>
      <c r="M7" s="24"/>
    </row>
    <row r="8" spans="1:13" ht="20.25" x14ac:dyDescent="0.3">
      <c r="A8" s="9">
        <v>7</v>
      </c>
      <c r="B8" s="9">
        <f>SUM($C$2:C8)</f>
        <v>0.99836159999999996</v>
      </c>
      <c r="C8" s="9">
        <f t="shared" si="0"/>
        <v>2.4576000000000012E-3</v>
      </c>
      <c r="L8" s="24"/>
      <c r="M8" s="24"/>
    </row>
    <row r="9" spans="1:13" ht="20.25" x14ac:dyDescent="0.3">
      <c r="A9" s="9">
        <v>8</v>
      </c>
      <c r="B9" s="9">
        <f>SUM($C$2:C9)</f>
        <v>0.99934464000000001</v>
      </c>
      <c r="C9" s="9">
        <f t="shared" si="0"/>
        <v>9.8304000000000078E-4</v>
      </c>
      <c r="L9" s="24"/>
      <c r="M9" s="24"/>
    </row>
    <row r="10" spans="1:13" ht="20.25" x14ac:dyDescent="0.3">
      <c r="A10" s="9">
        <v>9</v>
      </c>
      <c r="B10" s="9">
        <f>SUM($C$2:C10)</f>
        <v>0.99973785599999998</v>
      </c>
      <c r="C10" s="9">
        <f t="shared" si="0"/>
        <v>3.9321600000000032E-4</v>
      </c>
      <c r="L10" s="24"/>
      <c r="M10" s="24"/>
    </row>
    <row r="11" spans="1:13" ht="20.25" x14ac:dyDescent="0.3">
      <c r="A11" s="9">
        <v>10</v>
      </c>
      <c r="B11" s="9">
        <f>SUM($C$2:C11)</f>
        <v>0.99989514239999999</v>
      </c>
      <c r="C11" s="9">
        <f t="shared" si="0"/>
        <v>1.5728640000000013E-4</v>
      </c>
      <c r="L11" s="24"/>
      <c r="M11" s="24"/>
    </row>
    <row r="12" spans="1:13" ht="20.25" x14ac:dyDescent="0.3">
      <c r="A12" s="9">
        <v>11</v>
      </c>
      <c r="B12" s="9">
        <f>SUM($C$2:C12)</f>
        <v>0.99995805695999995</v>
      </c>
      <c r="C12" s="9">
        <f t="shared" si="0"/>
        <v>6.2914560000000067E-5</v>
      </c>
      <c r="L12" s="24"/>
      <c r="M12" s="24"/>
    </row>
    <row r="13" spans="1:13" ht="20.25" x14ac:dyDescent="0.3">
      <c r="A13" s="9">
        <v>12</v>
      </c>
      <c r="B13" s="9">
        <f>SUM($C$2:C13)</f>
        <v>0.99998322278399998</v>
      </c>
      <c r="C13" s="9">
        <f t="shared" si="0"/>
        <v>2.5165824000000025E-5</v>
      </c>
      <c r="L13" s="24"/>
      <c r="M13" s="24"/>
    </row>
    <row r="14" spans="1:13" ht="20.25" x14ac:dyDescent="0.3">
      <c r="A14" s="9">
        <v>13</v>
      </c>
      <c r="B14" s="9">
        <f>SUM($C$2:C14)</f>
        <v>0.99999328911359997</v>
      </c>
      <c r="C14" s="9">
        <f t="shared" si="0"/>
        <v>1.0066329600000013E-5</v>
      </c>
      <c r="L14" s="24"/>
      <c r="M14" s="24"/>
    </row>
    <row r="15" spans="1:13" ht="20.25" x14ac:dyDescent="0.3">
      <c r="A15" s="9">
        <v>14</v>
      </c>
      <c r="B15" s="9">
        <f>SUM($C$2:C15)</f>
        <v>0.99999731564543992</v>
      </c>
      <c r="C15" s="9">
        <f t="shared" si="0"/>
        <v>4.0265318400000057E-6</v>
      </c>
      <c r="L15" s="24"/>
      <c r="M15" s="24"/>
    </row>
    <row r="16" spans="1:13" ht="20.25" x14ac:dyDescent="0.3">
      <c r="A16" s="9">
        <v>15</v>
      </c>
      <c r="B16" s="9">
        <f>SUM($C$2:C16)</f>
        <v>0.99999892625817588</v>
      </c>
      <c r="C16" s="9">
        <f t="shared" si="0"/>
        <v>1.6106127360000022E-6</v>
      </c>
      <c r="L16" s="24"/>
      <c r="M16" s="24"/>
    </row>
    <row r="17" spans="1:13" ht="20.25" x14ac:dyDescent="0.3">
      <c r="A17" s="9">
        <v>16</v>
      </c>
      <c r="B17" s="9">
        <f>SUM($C$2:C17)</f>
        <v>0.99999957050327026</v>
      </c>
      <c r="C17" s="9">
        <f t="shared" si="0"/>
        <v>6.4424509440000105E-7</v>
      </c>
      <c r="L17" s="24"/>
      <c r="M17" s="24"/>
    </row>
    <row r="18" spans="1:13" ht="20.25" x14ac:dyDescent="0.3">
      <c r="A18" s="9">
        <v>17</v>
      </c>
      <c r="B18" s="9">
        <f>SUM($C$2:C18)</f>
        <v>0.99999982820130806</v>
      </c>
      <c r="C18" s="9">
        <f t="shared" si="0"/>
        <v>2.5769803776000043E-7</v>
      </c>
      <c r="L18" s="24"/>
      <c r="M18" s="24"/>
    </row>
    <row r="19" spans="1:13" ht="20.25" x14ac:dyDescent="0.3">
      <c r="A19" s="9">
        <v>18</v>
      </c>
      <c r="B19" s="9">
        <f>SUM($C$2:C19)</f>
        <v>0.99999993128052311</v>
      </c>
      <c r="C19" s="9">
        <f t="shared" si="0"/>
        <v>1.0307921510400018E-7</v>
      </c>
      <c r="L19" s="24"/>
      <c r="M19" s="24"/>
    </row>
    <row r="20" spans="1:13" ht="20.25" x14ac:dyDescent="0.3">
      <c r="A20" s="9">
        <v>19</v>
      </c>
      <c r="B20" s="9">
        <f>SUM($C$2:C20)</f>
        <v>0.99999997251220918</v>
      </c>
      <c r="C20" s="9">
        <f t="shared" si="0"/>
        <v>4.1231686041600072E-8</v>
      </c>
      <c r="L20" s="24"/>
      <c r="M20" s="24"/>
    </row>
    <row r="21" spans="1:13" ht="20.25" x14ac:dyDescent="0.3">
      <c r="A21" s="9">
        <v>20</v>
      </c>
      <c r="B21" s="9">
        <f>SUM($C$2:C21)</f>
        <v>0.99999998900488363</v>
      </c>
      <c r="C21" s="9">
        <f t="shared" si="0"/>
        <v>1.6492674416640031E-8</v>
      </c>
      <c r="L21" s="24"/>
      <c r="M21" s="2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workbookViewId="0">
      <selection activeCell="A25" sqref="A25"/>
    </sheetView>
  </sheetViews>
  <sheetFormatPr defaultRowHeight="15" x14ac:dyDescent="0.25"/>
  <cols>
    <col min="1" max="1" width="51.7109375" customWidth="1"/>
    <col min="2" max="2" width="20.5703125" customWidth="1"/>
    <col min="3" max="4" width="12.42578125" customWidth="1"/>
    <col min="5" max="5" width="12.140625" customWidth="1"/>
    <col min="6" max="6" width="11.85546875" customWidth="1"/>
    <col min="7" max="7" width="15.28515625" customWidth="1"/>
    <col min="8" max="8" width="16.28515625" customWidth="1"/>
  </cols>
  <sheetData>
    <row r="1" spans="1:10" ht="24" customHeight="1" x14ac:dyDescent="0.3">
      <c r="A1" s="25" t="s">
        <v>23</v>
      </c>
      <c r="B1" s="26">
        <v>45</v>
      </c>
    </row>
    <row r="2" spans="1:10" ht="24.75" customHeight="1" x14ac:dyDescent="0.3">
      <c r="A2" s="28" t="s">
        <v>24</v>
      </c>
      <c r="B2" s="29">
        <v>6</v>
      </c>
    </row>
    <row r="3" spans="1:10" ht="21.75" customHeight="1" x14ac:dyDescent="0.4">
      <c r="A3" s="28" t="s">
        <v>25</v>
      </c>
      <c r="B3" s="30">
        <v>6</v>
      </c>
    </row>
    <row r="4" spans="1:10" ht="24" customHeight="1" x14ac:dyDescent="0.4">
      <c r="A4" s="31" t="s">
        <v>26</v>
      </c>
      <c r="B4" s="32">
        <v>0</v>
      </c>
      <c r="C4" s="32">
        <v>1</v>
      </c>
      <c r="D4" s="32">
        <v>2</v>
      </c>
      <c r="E4" s="32">
        <v>3</v>
      </c>
      <c r="F4" s="32">
        <v>4</v>
      </c>
      <c r="G4" s="32">
        <v>5</v>
      </c>
      <c r="H4" s="32">
        <v>6</v>
      </c>
      <c r="I4" s="44"/>
      <c r="J4" s="42"/>
    </row>
    <row r="5" spans="1:10" ht="19.5" customHeight="1" x14ac:dyDescent="0.25">
      <c r="I5" s="45"/>
      <c r="J5" s="42"/>
    </row>
    <row r="6" spans="1:10" ht="42" x14ac:dyDescent="0.35">
      <c r="A6" s="33" t="s">
        <v>18</v>
      </c>
      <c r="B6" s="34">
        <f>FACT($B$1)/(FACT($B$2)*FACT($B$1-$B$2))</f>
        <v>8145060</v>
      </c>
      <c r="C6" s="34">
        <f t="shared" ref="C6:H6" si="0">FACT($B$1)/(FACT($B$2)*FACT($B$1-$B$2))</f>
        <v>8145060</v>
      </c>
      <c r="D6" s="34">
        <f t="shared" si="0"/>
        <v>8145060</v>
      </c>
      <c r="E6" s="34">
        <f t="shared" si="0"/>
        <v>8145060</v>
      </c>
      <c r="F6" s="34">
        <f t="shared" si="0"/>
        <v>8145060</v>
      </c>
      <c r="G6" s="41">
        <f t="shared" si="0"/>
        <v>8145060</v>
      </c>
      <c r="H6" s="43">
        <f t="shared" si="0"/>
        <v>8145060</v>
      </c>
      <c r="I6" s="44"/>
      <c r="J6" s="42"/>
    </row>
    <row r="7" spans="1:10" ht="38.25" customHeight="1" x14ac:dyDescent="0.35">
      <c r="A7" s="35" t="s">
        <v>19</v>
      </c>
      <c r="B7" s="34">
        <f>FACT($B$3)/(FACT(B4)*FACT($B$3-B4))</f>
        <v>1</v>
      </c>
      <c r="C7" s="34">
        <f t="shared" ref="C7:H7" si="1">FACT($B$3)/(FACT(C4)*FACT($B$3-C4))</f>
        <v>6</v>
      </c>
      <c r="D7" s="34">
        <f t="shared" si="1"/>
        <v>15</v>
      </c>
      <c r="E7" s="34">
        <f t="shared" si="1"/>
        <v>20</v>
      </c>
      <c r="F7" s="34">
        <f t="shared" si="1"/>
        <v>15</v>
      </c>
      <c r="G7" s="41">
        <f t="shared" si="1"/>
        <v>6</v>
      </c>
      <c r="H7" s="43">
        <f t="shared" si="1"/>
        <v>1</v>
      </c>
      <c r="I7" s="44"/>
      <c r="J7" s="42"/>
    </row>
    <row r="8" spans="1:10" ht="42" x14ac:dyDescent="0.35">
      <c r="A8" s="36" t="s">
        <v>20</v>
      </c>
      <c r="B8" s="34">
        <f>FACT($B$1-$B$3)/(FACT($B$2-B4)*FACT($B$1-$B$3-$B$2+B4))</f>
        <v>3262622.9999999991</v>
      </c>
      <c r="C8" s="34">
        <f t="shared" ref="C8:H8" si="2">FACT($B$1-$B$3)/(FACT($B$2-C4)*FACT($B$1-$B$3-$B$2+C4))</f>
        <v>575757.00000000023</v>
      </c>
      <c r="D8" s="34">
        <f t="shared" si="2"/>
        <v>82251.000000000029</v>
      </c>
      <c r="E8" s="34">
        <f t="shared" si="2"/>
        <v>9138.9999999999982</v>
      </c>
      <c r="F8" s="34">
        <f t="shared" si="2"/>
        <v>741.00000000000011</v>
      </c>
      <c r="G8" s="41">
        <f t="shared" si="2"/>
        <v>39.000000000000014</v>
      </c>
      <c r="H8" s="43">
        <f t="shared" si="2"/>
        <v>1</v>
      </c>
      <c r="I8" s="44"/>
      <c r="J8" s="42"/>
    </row>
    <row r="9" spans="1:10" ht="29.25" thickBot="1" x14ac:dyDescent="0.5">
      <c r="A9" s="37" t="s">
        <v>21</v>
      </c>
      <c r="B9" s="47">
        <f>B7*B8/B6</f>
        <v>0.40056463672459125</v>
      </c>
      <c r="C9" s="47">
        <f t="shared" ref="C9:H9" si="3">C7*C8/C6</f>
        <v>0.42412726241427334</v>
      </c>
      <c r="D9" s="47">
        <f t="shared" si="3"/>
        <v>0.15147402229081192</v>
      </c>
      <c r="E9" s="47">
        <f t="shared" si="3"/>
        <v>2.2440595894935085E-2</v>
      </c>
      <c r="F9" s="47">
        <f t="shared" si="3"/>
        <v>1.3646308314487557E-3</v>
      </c>
      <c r="G9" s="48">
        <f t="shared" si="3"/>
        <v>2.8729070135763281E-5</v>
      </c>
      <c r="H9" s="49">
        <f t="shared" si="3"/>
        <v>1.2277380399898834E-7</v>
      </c>
      <c r="I9" s="46"/>
      <c r="J9" s="42"/>
    </row>
    <row r="10" spans="1:10" ht="25.5" x14ac:dyDescent="0.35">
      <c r="A10" s="51" t="s">
        <v>27</v>
      </c>
      <c r="B10" s="50">
        <f>_xlfn.HYPGEOM.DIST(B4,$B$2,$B$3,$B$1,0)</f>
        <v>0.40056463672459136</v>
      </c>
      <c r="C10" s="50">
        <f t="shared" ref="C10:H10" si="4">_xlfn.HYPGEOM.DIST(C4,$B$2,$B$3,$B$1,0)</f>
        <v>0.42412726241427318</v>
      </c>
      <c r="D10" s="50">
        <f t="shared" si="4"/>
        <v>0.15147402229081183</v>
      </c>
      <c r="E10" s="50">
        <f t="shared" si="4"/>
        <v>2.244059589493513E-2</v>
      </c>
      <c r="F10" s="50">
        <f t="shared" si="4"/>
        <v>1.3646308314487566E-3</v>
      </c>
      <c r="G10" s="50">
        <f t="shared" si="4"/>
        <v>2.8729070135763278E-5</v>
      </c>
      <c r="H10" s="50">
        <f t="shared" si="4"/>
        <v>1.2277380399898855E-7</v>
      </c>
    </row>
    <row r="11" spans="1:10" ht="23.25" x14ac:dyDescent="0.35">
      <c r="A11" s="52" t="s">
        <v>28</v>
      </c>
      <c r="B11" s="50">
        <f>_xlfn.HYPGEOM.DIST(B4,$B$2,$B$3,$B$1,1)</f>
        <v>0.40056463672459136</v>
      </c>
      <c r="C11" s="50">
        <f t="shared" ref="C11:H11" si="5">_xlfn.HYPGEOM.DIST(C4,$B$2,$B$3,$B$1,1)</f>
        <v>0.82469189913886454</v>
      </c>
      <c r="D11" s="50">
        <f t="shared" si="5"/>
        <v>0.9761659214296764</v>
      </c>
      <c r="E11" s="50">
        <f t="shared" si="5"/>
        <v>0.99860651732461148</v>
      </c>
      <c r="F11" s="50">
        <f t="shared" si="5"/>
        <v>0.99997114815606025</v>
      </c>
      <c r="G11" s="50">
        <f t="shared" si="5"/>
        <v>0.99999987722619599</v>
      </c>
      <c r="H11" s="50">
        <f t="shared" si="5"/>
        <v>1</v>
      </c>
    </row>
    <row r="13" spans="1:10" ht="20.25" x14ac:dyDescent="0.35">
      <c r="A13" s="38" t="s">
        <v>22</v>
      </c>
      <c r="B13" s="38">
        <f>SUM(E9:H9)</f>
        <v>2.3834078570323602E-2</v>
      </c>
    </row>
    <row r="14" spans="1:10" ht="18.75" x14ac:dyDescent="0.3">
      <c r="A14" s="39" t="s">
        <v>17</v>
      </c>
      <c r="B14" s="39">
        <f>B2*B3/B1</f>
        <v>0.8</v>
      </c>
    </row>
    <row r="15" spans="1:10" ht="18.75" x14ac:dyDescent="0.3">
      <c r="A15" s="27"/>
      <c r="B15" s="40">
        <f>B2*B3/(B1-1)*(1-B3/B1)*(1-B2/B1)</f>
        <v>0.61454545454545462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8195" r:id="rId3">
          <objectPr defaultSize="0" autoPict="0" r:id="rId4">
            <anchor moveWithCells="1">
              <from>
                <xdr:col>0</xdr:col>
                <xdr:colOff>19050</xdr:colOff>
                <xdr:row>14</xdr:row>
                <xdr:rowOff>76200</xdr:rowOff>
              </from>
              <to>
                <xdr:col>0</xdr:col>
                <xdr:colOff>3095625</xdr:colOff>
                <xdr:row>16</xdr:row>
                <xdr:rowOff>9525</xdr:rowOff>
              </to>
            </anchor>
          </objectPr>
        </oleObject>
      </mc:Choice>
      <mc:Fallback>
        <oleObject progId="Equation.3" shapeId="8195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нормальный</vt:lpstr>
      <vt:lpstr>равномерный</vt:lpstr>
      <vt:lpstr>экспоненциальный</vt:lpstr>
      <vt:lpstr>биномиальный</vt:lpstr>
      <vt:lpstr>Пуассон</vt:lpstr>
      <vt:lpstr>геометрическое</vt:lpstr>
      <vt:lpstr>гипер_геометрическое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2019-12-15T17:38:38Z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38aa2228-c344-4c64-a0ce-b8841b7d944f</vt:lpwstr>
  </property>
</Properties>
</file>