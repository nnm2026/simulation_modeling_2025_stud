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1" activeTab="3"/>
  </bookViews>
  <sheets>
    <sheet name="Метод серединных квадратов" sheetId="1" r:id="rId1"/>
    <sheet name="Метод серединных п произведений" sheetId="2" r:id="rId2"/>
    <sheet name="Метод  перемешивания" sheetId="3" r:id="rId3"/>
    <sheet name="Линейный  конгруэнтный  метод" sheetId="4" r:id="rId4"/>
  </sheets>
  <calcPr calcId="145621"/>
</workbook>
</file>

<file path=xl/calcChain.xml><?xml version="1.0" encoding="utf-8"?>
<calcChain xmlns="http://schemas.openxmlformats.org/spreadsheetml/2006/main">
  <c r="G4" i="4" l="1"/>
  <c r="E4" i="4"/>
  <c r="G16" i="4"/>
  <c r="D4" i="4"/>
  <c r="B4" i="4"/>
  <c r="G5" i="4"/>
  <c r="G6" i="4"/>
  <c r="G7" i="4"/>
  <c r="G8" i="4"/>
  <c r="G9" i="4"/>
  <c r="G10" i="4"/>
  <c r="G11" i="4"/>
  <c r="G12" i="4"/>
  <c r="G13" i="4"/>
  <c r="G14" i="4"/>
  <c r="G15" i="4"/>
  <c r="E5" i="4"/>
  <c r="E6" i="4"/>
  <c r="E7" i="4"/>
  <c r="E8" i="4"/>
  <c r="E9" i="4"/>
  <c r="E10" i="4"/>
  <c r="E11" i="4"/>
  <c r="E12" i="4"/>
  <c r="E13" i="4"/>
  <c r="E14" i="4"/>
  <c r="E15" i="4"/>
  <c r="D5" i="4"/>
  <c r="D6" i="4"/>
  <c r="D7" i="4"/>
  <c r="D8" i="4"/>
  <c r="D9" i="4"/>
  <c r="D10" i="4"/>
  <c r="D11" i="4"/>
  <c r="D12" i="4"/>
  <c r="D13" i="4"/>
  <c r="D14" i="4"/>
  <c r="D15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2" i="4"/>
  <c r="F2" i="3"/>
  <c r="D2" i="3"/>
  <c r="H2" i="3"/>
  <c r="J2" i="3" s="1"/>
  <c r="I6" i="4" l="1"/>
  <c r="I8" i="4"/>
  <c r="I10" i="4"/>
  <c r="I12" i="4"/>
  <c r="I14" i="4"/>
  <c r="I4" i="4"/>
  <c r="I5" i="4"/>
  <c r="I7" i="4"/>
  <c r="I9" i="4"/>
  <c r="I11" i="4"/>
  <c r="I13" i="4"/>
  <c r="I15" i="4"/>
  <c r="B3" i="3"/>
  <c r="D3" i="3" s="1"/>
  <c r="E16" i="2"/>
  <c r="F4" i="2"/>
  <c r="F5" i="2"/>
  <c r="F6" i="2"/>
  <c r="F7" i="2"/>
  <c r="F8" i="2"/>
  <c r="F9" i="2"/>
  <c r="F10" i="2"/>
  <c r="F11" i="2"/>
  <c r="F12" i="2"/>
  <c r="F13" i="2"/>
  <c r="F14" i="2"/>
  <c r="F3" i="2"/>
  <c r="E15" i="2"/>
  <c r="B3" i="2"/>
  <c r="E3" i="2" s="1"/>
  <c r="I16" i="4" l="1"/>
  <c r="F3" i="3"/>
  <c r="H3" i="3" s="1"/>
  <c r="J3" i="3" s="1"/>
  <c r="B4" i="3"/>
  <c r="B4" i="2"/>
  <c r="E4" i="2" s="1"/>
  <c r="B5" i="2" s="1"/>
  <c r="E5" i="2" s="1"/>
  <c r="B2" i="1"/>
  <c r="B3" i="1" s="1"/>
  <c r="E2" i="1"/>
  <c r="H2" i="1"/>
  <c r="K2" i="1"/>
  <c r="E3" i="1"/>
  <c r="F1" i="1" s="1"/>
  <c r="F2" i="1" s="1"/>
  <c r="F3" i="1" s="1"/>
  <c r="H3" i="1"/>
  <c r="I1" i="1" s="1"/>
  <c r="I2" i="1" s="1"/>
  <c r="I3" i="1" s="1"/>
  <c r="K3" i="1"/>
  <c r="L1" i="1" s="1"/>
  <c r="L2" i="1" s="1"/>
  <c r="L3" i="1" s="1"/>
  <c r="L5" i="1" s="1"/>
  <c r="E5" i="1"/>
  <c r="H5" i="1"/>
  <c r="F4" i="3" l="1"/>
  <c r="D4" i="3"/>
  <c r="B6" i="2"/>
  <c r="E6" i="2" s="1"/>
  <c r="B7" i="2" s="1"/>
  <c r="C1" i="1"/>
  <c r="C2" i="1" s="1"/>
  <c r="C3" i="1" s="1"/>
  <c r="B5" i="1"/>
  <c r="K5" i="1"/>
  <c r="F5" i="1"/>
  <c r="G1" i="1"/>
  <c r="G2" i="1" s="1"/>
  <c r="G3" i="1" s="1"/>
  <c r="G5" i="1" s="1"/>
  <c r="J1" i="1"/>
  <c r="J2" i="1" s="1"/>
  <c r="J3" i="1" s="1"/>
  <c r="J5" i="1" s="1"/>
  <c r="I5" i="1"/>
  <c r="H4" i="3" l="1"/>
  <c r="J4" i="3" s="1"/>
  <c r="B5" i="3"/>
  <c r="E7" i="2"/>
  <c r="D1" i="1"/>
  <c r="D2" i="1" s="1"/>
  <c r="D3" i="1" s="1"/>
  <c r="D5" i="1" s="1"/>
  <c r="C5" i="1"/>
  <c r="F5" i="3" l="1"/>
  <c r="D5" i="3"/>
  <c r="B8" i="2"/>
  <c r="E8" i="2" s="1"/>
  <c r="B9" i="2" s="1"/>
  <c r="E9" i="2" s="1"/>
  <c r="G7" i="1"/>
  <c r="H11" i="1"/>
  <c r="E11" i="1"/>
  <c r="L11" i="1"/>
  <c r="J11" i="1"/>
  <c r="B11" i="1"/>
  <c r="I11" i="1"/>
  <c r="K11" i="1"/>
  <c r="F11" i="1"/>
  <c r="G11" i="1"/>
  <c r="C11" i="1"/>
  <c r="D11" i="1"/>
  <c r="H5" i="3" l="1"/>
  <c r="B6" i="3" s="1"/>
  <c r="J5" i="3"/>
  <c r="B10" i="2"/>
  <c r="E10" i="2" s="1"/>
  <c r="B11" i="2" s="1"/>
  <c r="E11" i="2" s="1"/>
  <c r="G8" i="1"/>
  <c r="D6" i="3" l="1"/>
  <c r="F6" i="3"/>
  <c r="B12" i="2"/>
  <c r="E12" i="2" s="1"/>
  <c r="B13" i="2" s="1"/>
  <c r="E13" i="2" s="1"/>
  <c r="H6" i="3" l="1"/>
  <c r="B14" i="2"/>
  <c r="E14" i="2" s="1"/>
  <c r="B7" i="3" l="1"/>
  <c r="J6" i="3"/>
  <c r="F7" i="3" l="1"/>
  <c r="D7" i="3"/>
  <c r="H7" i="3" l="1"/>
  <c r="B8" i="3" s="1"/>
  <c r="J7" i="3"/>
  <c r="F8" i="3" l="1"/>
  <c r="D8" i="3"/>
  <c r="H8" i="3" l="1"/>
  <c r="J8" i="3" s="1"/>
  <c r="B9" i="3"/>
  <c r="D9" i="3" l="1"/>
  <c r="F9" i="3"/>
  <c r="H9" i="3" l="1"/>
  <c r="B10" i="3" l="1"/>
  <c r="J9" i="3"/>
  <c r="F10" i="3" l="1"/>
  <c r="D10" i="3"/>
  <c r="H10" i="3" l="1"/>
  <c r="J10" i="3" l="1"/>
  <c r="B11" i="3"/>
  <c r="F11" i="3" l="1"/>
  <c r="D11" i="3"/>
  <c r="H11" i="3" l="1"/>
  <c r="B12" i="3" s="1"/>
  <c r="J11" i="3"/>
  <c r="F12" i="3" l="1"/>
  <c r="D12" i="3"/>
  <c r="H12" i="3" l="1"/>
  <c r="J12" i="3" s="1"/>
  <c r="J13" i="3" s="1"/>
  <c r="L5" i="3" s="1"/>
  <c r="L9" i="3"/>
  <c r="L2" i="3"/>
  <c r="L6" i="3"/>
  <c r="L10" i="3"/>
  <c r="L12" i="3" l="1"/>
  <c r="L8" i="3"/>
  <c r="L4" i="3"/>
  <c r="L11" i="3"/>
  <c r="L7" i="3"/>
  <c r="L3" i="3"/>
  <c r="L13" i="3"/>
</calcChain>
</file>

<file path=xl/sharedStrings.xml><?xml version="1.0" encoding="utf-8"?>
<sst xmlns="http://schemas.openxmlformats.org/spreadsheetml/2006/main" count="68" uniqueCount="41">
  <si>
    <t>R0=</t>
  </si>
  <si>
    <t>R0^2=</t>
  </si>
  <si>
    <t>R1=</t>
  </si>
  <si>
    <t>R2=</t>
  </si>
  <si>
    <t xml:space="preserve">Mx= </t>
  </si>
  <si>
    <r>
      <t>(R2-Mx)</t>
    </r>
    <r>
      <rPr>
        <b/>
        <vertAlign val="superscript"/>
        <sz val="16"/>
        <color theme="1"/>
        <rFont val="Times New Roman"/>
        <family val="1"/>
        <charset val="204"/>
      </rPr>
      <t>2</t>
    </r>
    <r>
      <rPr>
        <b/>
        <sz val="16"/>
        <color theme="1"/>
        <rFont val="Times New Roman"/>
        <family val="1"/>
        <charset val="204"/>
      </rPr>
      <t>=</t>
    </r>
  </si>
  <si>
    <t>Dx=</t>
  </si>
  <si>
    <r>
      <t>R2=R0</t>
    </r>
    <r>
      <rPr>
        <b/>
        <sz val="16"/>
        <color theme="1"/>
        <rFont val="Calibri"/>
        <family val="2"/>
        <charset val="204"/>
      </rPr>
      <t>∙</t>
    </r>
    <r>
      <rPr>
        <b/>
        <sz val="16"/>
        <color theme="1"/>
        <rFont val="Times New Roman"/>
        <family val="1"/>
        <charset val="204"/>
      </rPr>
      <t>R1=</t>
    </r>
  </si>
  <si>
    <t>R5=R3*∙R4*=</t>
  </si>
  <si>
    <t>R6=R4*∙R5*=</t>
  </si>
  <si>
    <r>
      <t>R3=R1∙R2</t>
    </r>
    <r>
      <rPr>
        <b/>
        <vertAlign val="superscript"/>
        <sz val="16"/>
        <color theme="1"/>
        <rFont val="Times New Roman"/>
        <family val="1"/>
        <charset val="204"/>
      </rPr>
      <t>*</t>
    </r>
    <r>
      <rPr>
        <b/>
        <sz val="16"/>
        <color theme="1"/>
        <rFont val="Times New Roman"/>
        <family val="1"/>
        <charset val="204"/>
      </rPr>
      <t>=</t>
    </r>
  </si>
  <si>
    <t>R4=∙R2*∙R3*=</t>
  </si>
  <si>
    <t>R7</t>
  </si>
  <si>
    <t>R8</t>
  </si>
  <si>
    <t>R9</t>
  </si>
  <si>
    <t>R10</t>
  </si>
  <si>
    <t>R11</t>
  </si>
  <si>
    <t>R12</t>
  </si>
  <si>
    <t>R13</t>
  </si>
  <si>
    <t>R2</t>
  </si>
  <si>
    <t>R3</t>
  </si>
  <si>
    <t>R4</t>
  </si>
  <si>
    <t>R5</t>
  </si>
  <si>
    <t>R6</t>
  </si>
  <si>
    <t>Случайные Числа</t>
  </si>
  <si>
    <r>
      <t>(R2-Mx)</t>
    </r>
    <r>
      <rPr>
        <b/>
        <vertAlign val="superscript"/>
        <sz val="16"/>
        <color rgb="FF7030A0"/>
        <rFont val="Times New Roman"/>
        <family val="1"/>
        <charset val="204"/>
      </rPr>
      <t>2</t>
    </r>
    <r>
      <rPr>
        <b/>
        <sz val="16"/>
        <color rgb="FF7030A0"/>
        <rFont val="Times New Roman"/>
        <family val="1"/>
        <charset val="204"/>
      </rPr>
      <t>=</t>
    </r>
  </si>
  <si>
    <t>R0*=</t>
  </si>
  <si>
    <t>R0**=</t>
  </si>
  <si>
    <t>R0=R1=</t>
  </si>
  <si>
    <t>0,R1=</t>
  </si>
  <si>
    <t>Mx=</t>
  </si>
  <si>
    <r>
      <t>R1</t>
    </r>
    <r>
      <rPr>
        <b/>
        <sz val="12"/>
        <color theme="1"/>
        <rFont val="Times New Roman"/>
        <family val="1"/>
        <charset val="204"/>
      </rPr>
      <t>=R0*+R0**</t>
    </r>
    <r>
      <rPr>
        <b/>
        <sz val="16"/>
        <color theme="1"/>
        <rFont val="Times New Roman"/>
        <family val="1"/>
        <charset val="204"/>
      </rPr>
      <t>=</t>
    </r>
  </si>
  <si>
    <t>(Mx-0,R1)^2=</t>
  </si>
  <si>
    <t>M=2^31-1 =</t>
  </si>
  <si>
    <t xml:space="preserve">k= </t>
  </si>
  <si>
    <t>b=</t>
  </si>
  <si>
    <t>R1</t>
  </si>
  <si>
    <t>Ri=</t>
  </si>
  <si>
    <r>
      <t>r</t>
    </r>
    <r>
      <rPr>
        <i/>
        <vertAlign val="subscript"/>
        <sz val="18"/>
        <color rgb="FFC00000"/>
        <rFont val="Times New Roman"/>
        <family val="1"/>
        <charset val="204"/>
      </rPr>
      <t>i</t>
    </r>
    <r>
      <rPr>
        <b/>
        <i/>
        <vertAlign val="subscript"/>
        <sz val="18"/>
        <color rgb="FFC00000"/>
        <rFont val="Times New Roman"/>
        <family val="1"/>
        <charset val="204"/>
      </rPr>
      <t xml:space="preserve"> + 1</t>
    </r>
    <r>
      <rPr>
        <b/>
        <i/>
        <sz val="18"/>
        <color rgb="FFC00000"/>
        <rFont val="Times New Roman"/>
        <family val="1"/>
        <charset val="204"/>
      </rPr>
      <t xml:space="preserve"> = mod(k · r</t>
    </r>
    <r>
      <rPr>
        <b/>
        <i/>
        <vertAlign val="subscript"/>
        <sz val="18"/>
        <color rgb="FFC00000"/>
        <rFont val="Times New Roman"/>
        <family val="1"/>
        <charset val="204"/>
      </rPr>
      <t>i</t>
    </r>
    <r>
      <rPr>
        <b/>
        <i/>
        <sz val="18"/>
        <color rgb="FFC00000"/>
        <rFont val="Times New Roman"/>
        <family val="1"/>
        <charset val="204"/>
      </rPr>
      <t xml:space="preserve"> + b, M)</t>
    </r>
  </si>
  <si>
    <t>приведение к 8 разрядам</t>
  </si>
  <si>
    <t>(Mx-Ri)^2=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</si>
</sst>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sz val="16"/>
      <color rgb="FF7030A0"/>
      <name val="Times New Roman"/>
      <family val="1"/>
      <charset val="204"/>
    </font>
    <font>
      <b/>
      <sz val="16"/>
      <color rgb="FF0070C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b/>
      <vertAlign val="superscript"/>
      <sz val="16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b/>
      <vertAlign val="superscript"/>
      <sz val="16"/>
      <color rgb="FF7030A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20"/>
      <color rgb="FF7030A0"/>
      <name val="Times New Roman"/>
      <family val="1"/>
      <charset val="204"/>
    </font>
    <font>
      <b/>
      <i/>
      <sz val="20"/>
      <color rgb="FF0070C0"/>
      <name val="Times New Roman"/>
      <family val="1"/>
      <charset val="204"/>
    </font>
    <font>
      <i/>
      <sz val="18"/>
      <color rgb="FFC00000"/>
      <name val="Times New Roman"/>
      <family val="1"/>
      <charset val="204"/>
    </font>
    <font>
      <i/>
      <vertAlign val="subscript"/>
      <sz val="18"/>
      <color rgb="FFC00000"/>
      <name val="Times New Roman"/>
      <family val="1"/>
      <charset val="204"/>
    </font>
    <font>
      <b/>
      <i/>
      <vertAlign val="subscript"/>
      <sz val="18"/>
      <color rgb="FFC00000"/>
      <name val="Times New Roman"/>
      <family val="1"/>
      <charset val="204"/>
    </font>
    <font>
      <b/>
      <i/>
      <sz val="18"/>
      <color rgb="FFC00000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b/>
      <i/>
      <sz val="18"/>
      <color rgb="FF7030A0"/>
      <name val="Times New Roman"/>
      <family val="1"/>
      <charset val="204"/>
    </font>
    <font>
      <b/>
      <sz val="18"/>
      <color rgb="FF00B05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2" fontId="1" fillId="0" borderId="0" xfId="0" applyNumberFormat="1" applyFont="1"/>
    <xf numFmtId="0" fontId="6" fillId="0" borderId="0" xfId="0" applyFont="1"/>
    <xf numFmtId="0" fontId="6" fillId="0" borderId="1" xfId="0" applyFont="1" applyBorder="1"/>
    <xf numFmtId="0" fontId="1" fillId="0" borderId="0" xfId="0" applyFont="1" applyBorder="1"/>
    <xf numFmtId="0" fontId="9" fillId="0" borderId="1" xfId="0" applyFont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1" xfId="0" applyFont="1" applyBorder="1"/>
    <xf numFmtId="0" fontId="11" fillId="0" borderId="1" xfId="0" applyFont="1" applyBorder="1"/>
    <xf numFmtId="0" fontId="6" fillId="0" borderId="0" xfId="0" applyFont="1" applyBorder="1"/>
    <xf numFmtId="0" fontId="13" fillId="0" borderId="0" xfId="0" applyFont="1" applyAlignment="1">
      <alignment horizontal="right" vertical="center" readingOrder="1"/>
    </xf>
    <xf numFmtId="0" fontId="17" fillId="0" borderId="0" xfId="0" applyFont="1"/>
    <xf numFmtId="0" fontId="18" fillId="0" borderId="0" xfId="0" applyFont="1" applyAlignment="1">
      <alignment horizontal="right"/>
    </xf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9" fillId="0" borderId="0" xfId="0" applyFont="1"/>
    <xf numFmtId="0" fontId="19" fillId="0" borderId="1" xfId="0" applyFont="1" applyBorder="1" applyAlignment="1">
      <alignment horizontal="right"/>
    </xf>
    <xf numFmtId="0" fontId="19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5</xdr:row>
      <xdr:rowOff>95250</xdr:rowOff>
    </xdr:from>
    <xdr:to>
      <xdr:col>1</xdr:col>
      <xdr:colOff>428626</xdr:colOff>
      <xdr:row>6</xdr:row>
      <xdr:rowOff>66675</xdr:rowOff>
    </xdr:to>
    <xdr:sp macro="" textlink="">
      <xdr:nvSpPr>
        <xdr:cNvPr id="2" name="Выноска 3 1"/>
        <xdr:cNvSpPr/>
      </xdr:nvSpPr>
      <xdr:spPr>
        <a:xfrm>
          <a:off x="47626" y="1381125"/>
          <a:ext cx="1371600" cy="228600"/>
        </a:xfrm>
        <a:prstGeom prst="borderCallout3">
          <a:avLst>
            <a:gd name="adj1" fmla="val 4758"/>
            <a:gd name="adj2" fmla="val 10417"/>
            <a:gd name="adj3" fmla="val -40330"/>
            <a:gd name="adj4" fmla="val 34375"/>
            <a:gd name="adj5" fmla="val -462313"/>
            <a:gd name="adj6" fmla="val 52054"/>
            <a:gd name="adj7" fmla="val -550283"/>
            <a:gd name="adj8" fmla="val 81632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произв.</a:t>
          </a:r>
          <a:r>
            <a:rPr lang="ru-RU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число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476250</xdr:colOff>
      <xdr:row>6</xdr:row>
      <xdr:rowOff>200025</xdr:rowOff>
    </xdr:from>
    <xdr:to>
      <xdr:col>1</xdr:col>
      <xdr:colOff>1152525</xdr:colOff>
      <xdr:row>7</xdr:row>
      <xdr:rowOff>171450</xdr:rowOff>
    </xdr:to>
    <xdr:sp macro="" textlink="">
      <xdr:nvSpPr>
        <xdr:cNvPr id="3" name="Выноска 1 2"/>
        <xdr:cNvSpPr/>
      </xdr:nvSpPr>
      <xdr:spPr>
        <a:xfrm>
          <a:off x="1085850" y="1743075"/>
          <a:ext cx="676275" cy="228600"/>
        </a:xfrm>
        <a:prstGeom prst="borderCallout1">
          <a:avLst>
            <a:gd name="adj1" fmla="val -5628"/>
            <a:gd name="adj2" fmla="val 87340"/>
            <a:gd name="adj3" fmla="val -579167"/>
            <a:gd name="adj4" fmla="val -18615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=B1^2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114300</xdr:colOff>
      <xdr:row>8</xdr:row>
      <xdr:rowOff>66674</xdr:rowOff>
    </xdr:from>
    <xdr:to>
      <xdr:col>3</xdr:col>
      <xdr:colOff>742950</xdr:colOff>
      <xdr:row>9</xdr:row>
      <xdr:rowOff>104774</xdr:rowOff>
    </xdr:to>
    <xdr:sp macro="" textlink="">
      <xdr:nvSpPr>
        <xdr:cNvPr id="4" name="Выноска 1 3"/>
        <xdr:cNvSpPr/>
      </xdr:nvSpPr>
      <xdr:spPr>
        <a:xfrm>
          <a:off x="114300" y="2124074"/>
          <a:ext cx="3819525" cy="295275"/>
        </a:xfrm>
        <a:prstGeom prst="borderCallout1">
          <a:avLst>
            <a:gd name="adj1" fmla="val -8854"/>
            <a:gd name="adj2" fmla="val 60417"/>
            <a:gd name="adj3" fmla="val -498522"/>
            <a:gd name="adj4" fmla="val 38726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=ЧАСТНОЕ(ОСТАТ(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B2;100000);10)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161925</xdr:colOff>
      <xdr:row>6</xdr:row>
      <xdr:rowOff>171450</xdr:rowOff>
    </xdr:from>
    <xdr:to>
      <xdr:col>3</xdr:col>
      <xdr:colOff>361950</xdr:colOff>
      <xdr:row>7</xdr:row>
      <xdr:rowOff>133350</xdr:rowOff>
    </xdr:to>
    <xdr:sp macro="" textlink="">
      <xdr:nvSpPr>
        <xdr:cNvPr id="5" name="Выноска 1 4"/>
        <xdr:cNvSpPr/>
      </xdr:nvSpPr>
      <xdr:spPr>
        <a:xfrm>
          <a:off x="2038350" y="1714500"/>
          <a:ext cx="1133475" cy="219075"/>
        </a:xfrm>
        <a:prstGeom prst="borderCallout1">
          <a:avLst>
            <a:gd name="adj1" fmla="val -9976"/>
            <a:gd name="adj2" fmla="val 18432"/>
            <a:gd name="adj3" fmla="val -230797"/>
            <a:gd name="adj4" fmla="val -17076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=B3/10000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552451</xdr:colOff>
      <xdr:row>5</xdr:row>
      <xdr:rowOff>114299</xdr:rowOff>
    </xdr:from>
    <xdr:to>
      <xdr:col>3</xdr:col>
      <xdr:colOff>76201</xdr:colOff>
      <xdr:row>6</xdr:row>
      <xdr:rowOff>114299</xdr:rowOff>
    </xdr:to>
    <xdr:sp macro="" textlink="">
      <xdr:nvSpPr>
        <xdr:cNvPr id="6" name="Выноска 1 5"/>
        <xdr:cNvSpPr/>
      </xdr:nvSpPr>
      <xdr:spPr>
        <a:xfrm>
          <a:off x="2428876" y="1400174"/>
          <a:ext cx="457200" cy="257175"/>
        </a:xfrm>
        <a:prstGeom prst="borderCallout1">
          <a:avLst>
            <a:gd name="adj1" fmla="val -5628"/>
            <a:gd name="adj2" fmla="val 87340"/>
            <a:gd name="adj3" fmla="val -490279"/>
            <a:gd name="adj4" fmla="val -5611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=B3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9</xdr:col>
      <xdr:colOff>619124</xdr:colOff>
      <xdr:row>5</xdr:row>
      <xdr:rowOff>76200</xdr:rowOff>
    </xdr:from>
    <xdr:to>
      <xdr:col>12</xdr:col>
      <xdr:colOff>180975</xdr:colOff>
      <xdr:row>9</xdr:row>
      <xdr:rowOff>171450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7324" y="1362075"/>
          <a:ext cx="2247901" cy="1123950"/>
        </a:xfrm>
        <a:prstGeom prst="rect">
          <a:avLst/>
        </a:prstGeom>
      </xdr:spPr>
    </xdr:pic>
    <xdr:clientData/>
  </xdr:twoCellAnchor>
  <xdr:twoCellAnchor>
    <xdr:from>
      <xdr:col>7</xdr:col>
      <xdr:colOff>276224</xdr:colOff>
      <xdr:row>6</xdr:row>
      <xdr:rowOff>0</xdr:rowOff>
    </xdr:from>
    <xdr:to>
      <xdr:col>9</xdr:col>
      <xdr:colOff>276225</xdr:colOff>
      <xdr:row>7</xdr:row>
      <xdr:rowOff>0</xdr:rowOff>
    </xdr:to>
    <xdr:sp macro="" textlink="">
      <xdr:nvSpPr>
        <xdr:cNvPr id="10" name="Выноска 1 9"/>
        <xdr:cNvSpPr/>
      </xdr:nvSpPr>
      <xdr:spPr>
        <a:xfrm>
          <a:off x="6981824" y="1543050"/>
          <a:ext cx="1752601" cy="257175"/>
        </a:xfrm>
        <a:prstGeom prst="borderCallout1">
          <a:avLst>
            <a:gd name="adj1" fmla="val 42520"/>
            <a:gd name="adj2" fmla="val 927"/>
            <a:gd name="adj3" fmla="val 35647"/>
            <a:gd name="adj4" fmla="val -1589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B5:L5)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247650</xdr:colOff>
      <xdr:row>7</xdr:row>
      <xdr:rowOff>47625</xdr:rowOff>
    </xdr:from>
    <xdr:to>
      <xdr:col>9</xdr:col>
      <xdr:colOff>419100</xdr:colOff>
      <xdr:row>8</xdr:row>
      <xdr:rowOff>47625</xdr:rowOff>
    </xdr:to>
    <xdr:sp macro="" textlink="">
      <xdr:nvSpPr>
        <xdr:cNvPr id="11" name="Выноска 1 10"/>
        <xdr:cNvSpPr/>
      </xdr:nvSpPr>
      <xdr:spPr>
        <a:xfrm>
          <a:off x="6953250" y="1847850"/>
          <a:ext cx="1924050" cy="257175"/>
        </a:xfrm>
        <a:prstGeom prst="borderCallout1">
          <a:avLst>
            <a:gd name="adj1" fmla="val 42520"/>
            <a:gd name="adj2" fmla="val 927"/>
            <a:gd name="adj3" fmla="val 35647"/>
            <a:gd name="adj4" fmla="val -1589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B11:L11)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476248</xdr:colOff>
      <xdr:row>0</xdr:row>
      <xdr:rowOff>28575</xdr:rowOff>
    </xdr:from>
    <xdr:to>
      <xdr:col>7</xdr:col>
      <xdr:colOff>200025</xdr:colOff>
      <xdr:row>1</xdr:row>
      <xdr:rowOff>47625</xdr:rowOff>
    </xdr:to>
    <xdr:sp macro="" textlink="">
      <xdr:nvSpPr>
        <xdr:cNvPr id="2" name="Выноска 1 1"/>
        <xdr:cNvSpPr/>
      </xdr:nvSpPr>
      <xdr:spPr>
        <a:xfrm>
          <a:off x="3314698" y="28575"/>
          <a:ext cx="4000502" cy="276225"/>
        </a:xfrm>
        <a:prstGeom prst="borderCallout1">
          <a:avLst>
            <a:gd name="adj1" fmla="val 106372"/>
            <a:gd name="adj2" fmla="val 55350"/>
            <a:gd name="adj3" fmla="val 226293"/>
            <a:gd name="adj4" fmla="val 44701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=ЧАСТНОЕ(ОСТАТ(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B3;100000);10)/10000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276225</xdr:colOff>
      <xdr:row>2</xdr:row>
      <xdr:rowOff>9525</xdr:rowOff>
    </xdr:from>
    <xdr:to>
      <xdr:col>12</xdr:col>
      <xdr:colOff>581027</xdr:colOff>
      <xdr:row>3</xdr:row>
      <xdr:rowOff>66675</xdr:rowOff>
    </xdr:to>
    <xdr:sp macro="" textlink="">
      <xdr:nvSpPr>
        <xdr:cNvPr id="3" name="Выноска 1 2"/>
        <xdr:cNvSpPr/>
      </xdr:nvSpPr>
      <xdr:spPr>
        <a:xfrm>
          <a:off x="6781800" y="571500"/>
          <a:ext cx="3962402" cy="323850"/>
        </a:xfrm>
        <a:prstGeom prst="borderCallout1">
          <a:avLst>
            <a:gd name="adj1" fmla="val 37407"/>
            <a:gd name="adj2" fmla="val -660"/>
            <a:gd name="adj3" fmla="val 104387"/>
            <a:gd name="adj4" fmla="val -4025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=ЧАСТНОЕ(ОСТАТ(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;100000);10)/10000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95249</xdr:colOff>
      <xdr:row>3</xdr:row>
      <xdr:rowOff>238125</xdr:rowOff>
    </xdr:from>
    <xdr:to>
      <xdr:col>14</xdr:col>
      <xdr:colOff>238125</xdr:colOff>
      <xdr:row>5</xdr:row>
      <xdr:rowOff>0</xdr:rowOff>
    </xdr:to>
    <xdr:sp macro="" textlink="">
      <xdr:nvSpPr>
        <xdr:cNvPr id="4" name="Выноска 1 3"/>
        <xdr:cNvSpPr/>
      </xdr:nvSpPr>
      <xdr:spPr>
        <a:xfrm>
          <a:off x="6600824" y="1066800"/>
          <a:ext cx="5019676" cy="323850"/>
        </a:xfrm>
        <a:prstGeom prst="borderCallout1">
          <a:avLst>
            <a:gd name="adj1" fmla="val 37407"/>
            <a:gd name="adj2" fmla="val -660"/>
            <a:gd name="adj3" fmla="val 66760"/>
            <a:gd name="adj4" fmla="val -2700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=ОСТАТ(ЧАСТНОЕ(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*100000000;100);10000)/10000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13</xdr:row>
      <xdr:rowOff>238125</xdr:rowOff>
    </xdr:from>
    <xdr:to>
      <xdr:col>7</xdr:col>
      <xdr:colOff>38100</xdr:colOff>
      <xdr:row>15</xdr:row>
      <xdr:rowOff>47625</xdr:rowOff>
    </xdr:to>
    <xdr:sp macro="" textlink="">
      <xdr:nvSpPr>
        <xdr:cNvPr id="2" name="Выноска 1 1"/>
        <xdr:cNvSpPr/>
      </xdr:nvSpPr>
      <xdr:spPr>
        <a:xfrm>
          <a:off x="28575" y="3648075"/>
          <a:ext cx="4762500" cy="323850"/>
        </a:xfrm>
        <a:prstGeom prst="borderCallout1">
          <a:avLst>
            <a:gd name="adj1" fmla="val -828"/>
            <a:gd name="adj2" fmla="val 8340"/>
            <a:gd name="adj3" fmla="val -1012652"/>
            <a:gd name="adj4" fmla="val 4459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=ОСТАТ(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B2;1000000)*100+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B2;1000000)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381000</xdr:colOff>
      <xdr:row>12</xdr:row>
      <xdr:rowOff>152400</xdr:rowOff>
    </xdr:from>
    <xdr:to>
      <xdr:col>7</xdr:col>
      <xdr:colOff>695325</xdr:colOff>
      <xdr:row>13</xdr:row>
      <xdr:rowOff>152400</xdr:rowOff>
    </xdr:to>
    <xdr:sp macro="" textlink="">
      <xdr:nvSpPr>
        <xdr:cNvPr id="3" name="Выноска 1 2"/>
        <xdr:cNvSpPr/>
      </xdr:nvSpPr>
      <xdr:spPr>
        <a:xfrm>
          <a:off x="1123950" y="3238500"/>
          <a:ext cx="4324350" cy="323850"/>
        </a:xfrm>
        <a:prstGeom prst="borderCallout1">
          <a:avLst>
            <a:gd name="adj1" fmla="val -828"/>
            <a:gd name="adj2" fmla="val 8340"/>
            <a:gd name="adj3" fmla="val -880299"/>
            <a:gd name="adj4" fmla="val 530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=ОСТАТ(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B2;100)*1000000+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B2;100)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438150</xdr:colOff>
      <xdr:row>14</xdr:row>
      <xdr:rowOff>19050</xdr:rowOff>
    </xdr:from>
    <xdr:to>
      <xdr:col>11</xdr:col>
      <xdr:colOff>1095375</xdr:colOff>
      <xdr:row>15</xdr:row>
      <xdr:rowOff>85725</xdr:rowOff>
    </xdr:to>
    <xdr:sp macro="" textlink="">
      <xdr:nvSpPr>
        <xdr:cNvPr id="4" name="Выноска 1 3"/>
        <xdr:cNvSpPr/>
      </xdr:nvSpPr>
      <xdr:spPr>
        <a:xfrm>
          <a:off x="5191125" y="3686175"/>
          <a:ext cx="4257675" cy="323850"/>
        </a:xfrm>
        <a:prstGeom prst="borderCallout1">
          <a:avLst>
            <a:gd name="adj1" fmla="val -828"/>
            <a:gd name="adj2" fmla="val 8340"/>
            <a:gd name="adj3" fmla="val -1012652"/>
            <a:gd name="adj4" fmla="val 4459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H2&gt;10^8;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H2;10);H2)/10^8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16</xdr:row>
      <xdr:rowOff>219075</xdr:rowOff>
    </xdr:from>
    <xdr:to>
      <xdr:col>1</xdr:col>
      <xdr:colOff>619125</xdr:colOff>
      <xdr:row>18</xdr:row>
      <xdr:rowOff>28575</xdr:rowOff>
    </xdr:to>
    <xdr:sp macro="" textlink="">
      <xdr:nvSpPr>
        <xdr:cNvPr id="2" name="Выноска 1 1"/>
        <xdr:cNvSpPr/>
      </xdr:nvSpPr>
      <xdr:spPr>
        <a:xfrm>
          <a:off x="161925" y="4505325"/>
          <a:ext cx="2943225" cy="323850"/>
        </a:xfrm>
        <a:prstGeom prst="borderCallout1">
          <a:avLst>
            <a:gd name="adj1" fmla="val 7996"/>
            <a:gd name="adj2" fmla="val 34877"/>
            <a:gd name="adj3" fmla="val -1071476"/>
            <a:gd name="adj4" fmla="val 8698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=ОСТАТ($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E$2*B3+$H$2;$B$2)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1590675</xdr:colOff>
      <xdr:row>15</xdr:row>
      <xdr:rowOff>85725</xdr:rowOff>
    </xdr:from>
    <xdr:to>
      <xdr:col>3</xdr:col>
      <xdr:colOff>714375</xdr:colOff>
      <xdr:row>16</xdr:row>
      <xdr:rowOff>114300</xdr:rowOff>
    </xdr:to>
    <xdr:sp macro="" textlink="">
      <xdr:nvSpPr>
        <xdr:cNvPr id="3" name="Выноска 1 2"/>
        <xdr:cNvSpPr/>
      </xdr:nvSpPr>
      <xdr:spPr>
        <a:xfrm>
          <a:off x="1590675" y="4076700"/>
          <a:ext cx="3762375" cy="323850"/>
        </a:xfrm>
        <a:prstGeom prst="borderCallout1">
          <a:avLst>
            <a:gd name="adj1" fmla="val -6710"/>
            <a:gd name="adj2" fmla="val 80832"/>
            <a:gd name="adj3" fmla="val -942065"/>
            <a:gd name="adj4" fmla="val 84709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B4&gt;10^8; 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B4;10);B4)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819150</xdr:colOff>
      <xdr:row>16</xdr:row>
      <xdr:rowOff>238125</xdr:rowOff>
    </xdr:from>
    <xdr:to>
      <xdr:col>5</xdr:col>
      <xdr:colOff>142875</xdr:colOff>
      <xdr:row>18</xdr:row>
      <xdr:rowOff>47625</xdr:rowOff>
    </xdr:to>
    <xdr:sp macro="" textlink="">
      <xdr:nvSpPr>
        <xdr:cNvPr id="4" name="Выноска 1 3"/>
        <xdr:cNvSpPr/>
      </xdr:nvSpPr>
      <xdr:spPr>
        <a:xfrm>
          <a:off x="3305175" y="4524375"/>
          <a:ext cx="3762375" cy="323850"/>
        </a:xfrm>
        <a:prstGeom prst="borderCallout1">
          <a:avLst>
            <a:gd name="adj1" fmla="val -6710"/>
            <a:gd name="adj2" fmla="val 63110"/>
            <a:gd name="adj3" fmla="val -1086183"/>
            <a:gd name="adj4" fmla="val 71291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D4&gt;10^8; 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D4;10);D4)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714376</xdr:colOff>
      <xdr:row>17</xdr:row>
      <xdr:rowOff>0</xdr:rowOff>
    </xdr:from>
    <xdr:to>
      <xdr:col>7</xdr:col>
      <xdr:colOff>676276</xdr:colOff>
      <xdr:row>18</xdr:row>
      <xdr:rowOff>66675</xdr:rowOff>
    </xdr:to>
    <xdr:sp macro="" textlink="">
      <xdr:nvSpPr>
        <xdr:cNvPr id="5" name="Выноска 1 4"/>
        <xdr:cNvSpPr/>
      </xdr:nvSpPr>
      <xdr:spPr>
        <a:xfrm>
          <a:off x="8248651" y="4543425"/>
          <a:ext cx="990600" cy="323850"/>
        </a:xfrm>
        <a:prstGeom prst="borderCallout1">
          <a:avLst>
            <a:gd name="adj1" fmla="val 2114"/>
            <a:gd name="adj2" fmla="val 67514"/>
            <a:gd name="adj3" fmla="val -1083242"/>
            <a:gd name="adj4" fmla="val 2225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=E4/10^8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F8" sqref="F8"/>
    </sheetView>
  </sheetViews>
  <sheetFormatPr defaultRowHeight="20.25" x14ac:dyDescent="0.3"/>
  <cols>
    <col min="1" max="1" width="14.85546875" style="2" customWidth="1"/>
    <col min="2" max="2" width="19" style="2" customWidth="1"/>
    <col min="3" max="5" width="14" style="2" bestFit="1" customWidth="1"/>
    <col min="6" max="6" width="10.7109375" style="2" bestFit="1" customWidth="1"/>
    <col min="7" max="8" width="14" style="2" bestFit="1" customWidth="1"/>
    <col min="9" max="9" width="12.28515625" style="2" bestFit="1" customWidth="1"/>
    <col min="10" max="11" width="14" style="2" bestFit="1" customWidth="1"/>
    <col min="12" max="12" width="12.28515625" style="2" bestFit="1" customWidth="1"/>
    <col min="13" max="16384" width="9.140625" style="2"/>
  </cols>
  <sheetData>
    <row r="1" spans="1:12" x14ac:dyDescent="0.3">
      <c r="A1" s="1" t="s">
        <v>0</v>
      </c>
      <c r="B1" s="1">
        <v>2345</v>
      </c>
      <c r="C1" s="1">
        <f>B3</f>
        <v>9902</v>
      </c>
      <c r="D1" s="1">
        <f>C3</f>
        <v>4960</v>
      </c>
      <c r="E1" s="1">
        <v>5235</v>
      </c>
      <c r="F1" s="1">
        <f t="shared" ref="F1:G1" si="0">E3</f>
        <v>522</v>
      </c>
      <c r="G1" s="1">
        <f t="shared" si="0"/>
        <v>7248</v>
      </c>
      <c r="H1" s="1">
        <v>5236</v>
      </c>
      <c r="I1" s="1">
        <f t="shared" ref="I1:J1" si="1">H3</f>
        <v>1569</v>
      </c>
      <c r="J1" s="1">
        <f t="shared" si="1"/>
        <v>6176</v>
      </c>
      <c r="K1" s="1">
        <v>5237</v>
      </c>
      <c r="L1" s="1">
        <f t="shared" ref="L1" si="2">K3</f>
        <v>2616</v>
      </c>
    </row>
    <row r="2" spans="1:12" x14ac:dyDescent="0.3">
      <c r="A2" s="3" t="s">
        <v>1</v>
      </c>
      <c r="B2" s="3">
        <f>B1^2</f>
        <v>5499025</v>
      </c>
      <c r="C2" s="3">
        <f>C1^2</f>
        <v>98049604</v>
      </c>
      <c r="D2" s="3">
        <f>D1^2</f>
        <v>24601600</v>
      </c>
      <c r="E2" s="3">
        <f t="shared" ref="E2:L2" si="3">E1^2</f>
        <v>27405225</v>
      </c>
      <c r="F2" s="3">
        <f t="shared" si="3"/>
        <v>272484</v>
      </c>
      <c r="G2" s="3">
        <f t="shared" si="3"/>
        <v>52533504</v>
      </c>
      <c r="H2" s="3">
        <f t="shared" si="3"/>
        <v>27415696</v>
      </c>
      <c r="I2" s="3">
        <f t="shared" si="3"/>
        <v>2461761</v>
      </c>
      <c r="J2" s="3">
        <f t="shared" si="3"/>
        <v>38142976</v>
      </c>
      <c r="K2" s="3">
        <f t="shared" si="3"/>
        <v>27426169</v>
      </c>
      <c r="L2" s="3">
        <f t="shared" si="3"/>
        <v>6843456</v>
      </c>
    </row>
    <row r="3" spans="1:12" x14ac:dyDescent="0.3">
      <c r="A3" s="4" t="s">
        <v>2</v>
      </c>
      <c r="B3" s="4">
        <f>QUOTIENT(MOD(B2,100000),10)</f>
        <v>9902</v>
      </c>
      <c r="C3" s="4">
        <f>QUOTIENT(MOD(C2,100000),10)</f>
        <v>4960</v>
      </c>
      <c r="D3" s="4">
        <f>QUOTIENT(MOD(D2,100000),10)</f>
        <v>160</v>
      </c>
      <c r="E3" s="4">
        <f t="shared" ref="E3:L3" si="4">QUOTIENT(MOD(E2,100000),10)</f>
        <v>522</v>
      </c>
      <c r="F3" s="4">
        <f t="shared" si="4"/>
        <v>7248</v>
      </c>
      <c r="G3" s="4">
        <f t="shared" si="4"/>
        <v>3350</v>
      </c>
      <c r="H3" s="4">
        <f t="shared" si="4"/>
        <v>1569</v>
      </c>
      <c r="I3" s="4">
        <f t="shared" si="4"/>
        <v>6176</v>
      </c>
      <c r="J3" s="4">
        <f t="shared" si="4"/>
        <v>4297</v>
      </c>
      <c r="K3" s="4">
        <f t="shared" si="4"/>
        <v>2616</v>
      </c>
      <c r="L3" s="4">
        <f t="shared" si="4"/>
        <v>4345</v>
      </c>
    </row>
    <row r="5" spans="1:12" x14ac:dyDescent="0.3">
      <c r="A5" s="5" t="s">
        <v>3</v>
      </c>
      <c r="B5" s="5">
        <f>B3/10000</f>
        <v>0.99019999999999997</v>
      </c>
      <c r="C5" s="5">
        <f>C3/10000</f>
        <v>0.496</v>
      </c>
      <c r="D5" s="5">
        <f>D3/10000</f>
        <v>1.6E-2</v>
      </c>
      <c r="E5" s="5">
        <f t="shared" ref="E5:L5" si="5">E3/10000</f>
        <v>5.2200000000000003E-2</v>
      </c>
      <c r="F5" s="5">
        <f t="shared" si="5"/>
        <v>0.7248</v>
      </c>
      <c r="G5" s="5">
        <f t="shared" si="5"/>
        <v>0.33500000000000002</v>
      </c>
      <c r="H5" s="5">
        <f t="shared" si="5"/>
        <v>0.15690000000000001</v>
      </c>
      <c r="I5" s="5">
        <f t="shared" si="5"/>
        <v>0.61760000000000004</v>
      </c>
      <c r="J5" s="5">
        <f t="shared" si="5"/>
        <v>0.42970000000000003</v>
      </c>
      <c r="K5" s="5">
        <f t="shared" si="5"/>
        <v>0.2616</v>
      </c>
      <c r="L5" s="5">
        <f t="shared" si="5"/>
        <v>0.4345</v>
      </c>
    </row>
    <row r="7" spans="1:12" x14ac:dyDescent="0.3">
      <c r="F7" s="1" t="s">
        <v>4</v>
      </c>
      <c r="G7" s="1">
        <f>AVERAGE(B5:L5)</f>
        <v>0.41040909090909083</v>
      </c>
    </row>
    <row r="8" spans="1:12" x14ac:dyDescent="0.3">
      <c r="F8" s="1" t="s">
        <v>6</v>
      </c>
      <c r="G8" s="1">
        <f>AVERAGE(B11:L11)</f>
        <v>7.8379577190082636E-2</v>
      </c>
    </row>
    <row r="11" spans="1:12" ht="24" x14ac:dyDescent="0.3">
      <c r="A11" s="1" t="s">
        <v>5</v>
      </c>
      <c r="B11" s="1">
        <f>(B5-$G$7)^2</f>
        <v>0.33615749826446284</v>
      </c>
      <c r="C11" s="1">
        <f t="shared" ref="C11:L11" si="6">(C5-$G$7)^2</f>
        <v>7.3258037190082762E-3</v>
      </c>
      <c r="D11" s="1">
        <f t="shared" si="6"/>
        <v>0.15555853099173547</v>
      </c>
      <c r="E11" s="1">
        <f t="shared" si="6"/>
        <v>0.12831375280991728</v>
      </c>
      <c r="F11" s="1">
        <f t="shared" si="6"/>
        <v>9.8841643719008318E-2</v>
      </c>
      <c r="G11" s="1">
        <f t="shared" si="6"/>
        <v>5.6865309917355231E-3</v>
      </c>
      <c r="H11" s="1">
        <f t="shared" si="6"/>
        <v>6.4266859173553667E-2</v>
      </c>
      <c r="I11" s="1">
        <f t="shared" si="6"/>
        <v>4.2928072809917402E-2</v>
      </c>
      <c r="J11" s="1">
        <f t="shared" si="6"/>
        <v>3.7213917355372289E-4</v>
      </c>
      <c r="K11" s="1">
        <f t="shared" si="6"/>
        <v>2.214414553719006E-2</v>
      </c>
      <c r="L11" s="1">
        <f t="shared" si="6"/>
        <v>5.8037190082644977E-4</v>
      </c>
    </row>
    <row r="15" spans="1:12" x14ac:dyDescent="0.3">
      <c r="E15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E11" sqref="E11"/>
    </sheetView>
  </sheetViews>
  <sheetFormatPr defaultRowHeight="20.25" x14ac:dyDescent="0.3"/>
  <cols>
    <col min="1" max="1" width="21.140625" style="2" customWidth="1"/>
    <col min="2" max="2" width="21.42578125" style="2" customWidth="1"/>
    <col min="3" max="4" width="9.140625" style="2"/>
    <col min="5" max="5" width="19.140625" style="2" customWidth="1"/>
    <col min="6" max="6" width="17.5703125" style="2" customWidth="1"/>
    <col min="7" max="16384" width="9.140625" style="2"/>
  </cols>
  <sheetData>
    <row r="1" spans="1:6" x14ac:dyDescent="0.3">
      <c r="A1" s="1" t="s">
        <v>0</v>
      </c>
      <c r="B1" s="1">
        <v>1087</v>
      </c>
    </row>
    <row r="2" spans="1:6" ht="24" x14ac:dyDescent="0.3">
      <c r="A2" s="1" t="s">
        <v>2</v>
      </c>
      <c r="B2" s="1">
        <v>5678</v>
      </c>
      <c r="D2" s="7" t="s">
        <v>24</v>
      </c>
      <c r="E2" s="7"/>
      <c r="F2" s="3" t="s">
        <v>25</v>
      </c>
    </row>
    <row r="3" spans="1:6" ht="21" x14ac:dyDescent="0.35">
      <c r="A3" s="1" t="s">
        <v>7</v>
      </c>
      <c r="B3" s="1">
        <f>B1*B2</f>
        <v>6171986</v>
      </c>
      <c r="D3" s="8" t="s">
        <v>19</v>
      </c>
      <c r="E3" s="8">
        <f>QUOTIENT(MOD(B3,100000),10)/10000</f>
        <v>0.7198</v>
      </c>
      <c r="F3" s="3">
        <f>($E$15-E3)^2</f>
        <v>9.032028444444444E-2</v>
      </c>
    </row>
    <row r="4" spans="1:6" ht="24" x14ac:dyDescent="0.3">
      <c r="A4" s="1" t="s">
        <v>10</v>
      </c>
      <c r="B4" s="1">
        <f>B2*E3*10000</f>
        <v>40870244</v>
      </c>
      <c r="D4" s="8" t="s">
        <v>20</v>
      </c>
      <c r="E4" s="8">
        <f>QUOTIENT(MOD(B4,100000),10)/10000</f>
        <v>0.70240000000000002</v>
      </c>
      <c r="F4" s="3">
        <f t="shared" ref="F4:F14" si="0">($E$15-E4)^2</f>
        <v>8.0164484444444448E-2</v>
      </c>
    </row>
    <row r="5" spans="1:6" x14ac:dyDescent="0.3">
      <c r="A5" s="1" t="s">
        <v>11</v>
      </c>
      <c r="B5" s="1">
        <f>E3*E4</f>
        <v>0.50558752000000007</v>
      </c>
      <c r="D5" s="8" t="s">
        <v>21</v>
      </c>
      <c r="E5" s="8">
        <f>MOD(QUOTIENT(B5*100000000,100),10000)/10000</f>
        <v>0.55869999999999997</v>
      </c>
      <c r="F5" s="3">
        <f t="shared" si="0"/>
        <v>1.9441654444444435E-2</v>
      </c>
    </row>
    <row r="6" spans="1:6" x14ac:dyDescent="0.3">
      <c r="A6" s="1" t="s">
        <v>8</v>
      </c>
      <c r="B6" s="1">
        <f>E4*E5</f>
        <v>0.39243087999999998</v>
      </c>
      <c r="D6" s="8" t="s">
        <v>22</v>
      </c>
      <c r="E6" s="8">
        <f>MOD(QUOTIENT(B6*100000000,100),10000)/10000</f>
        <v>0.24299999999999999</v>
      </c>
      <c r="F6" s="3">
        <f t="shared" si="0"/>
        <v>3.1069937777777782E-2</v>
      </c>
    </row>
    <row r="7" spans="1:6" x14ac:dyDescent="0.3">
      <c r="A7" s="1" t="s">
        <v>9</v>
      </c>
      <c r="B7" s="1">
        <f>E5*E6</f>
        <v>0.1357641</v>
      </c>
      <c r="D7" s="8" t="s">
        <v>23</v>
      </c>
      <c r="E7" s="8">
        <f>MOD(QUOTIENT(B7*100000000,100),10000)/10000</f>
        <v>0.57640000000000002</v>
      </c>
      <c r="F7" s="3">
        <f t="shared" si="0"/>
        <v>2.469088444444445E-2</v>
      </c>
    </row>
    <row r="8" spans="1:6" x14ac:dyDescent="0.3">
      <c r="A8" s="1" t="s">
        <v>12</v>
      </c>
      <c r="B8" s="1">
        <f t="shared" ref="B8:B14" si="1">E6*E7</f>
        <v>0.1400652</v>
      </c>
      <c r="D8" s="8" t="s">
        <v>12</v>
      </c>
      <c r="E8" s="8">
        <f t="shared" ref="E8:E14" si="2">MOD(QUOTIENT(B8*100000000,100),10000)/10000</f>
        <v>6.4999999999999997E-3</v>
      </c>
      <c r="F8" s="3">
        <f t="shared" si="0"/>
        <v>0.17037632111111112</v>
      </c>
    </row>
    <row r="9" spans="1:6" x14ac:dyDescent="0.3">
      <c r="A9" s="1" t="s">
        <v>13</v>
      </c>
      <c r="B9" s="1">
        <f t="shared" si="1"/>
        <v>3.7466000000000001E-3</v>
      </c>
      <c r="D9" s="8" t="s">
        <v>13</v>
      </c>
      <c r="E9" s="8">
        <f t="shared" si="2"/>
        <v>0.37459999999999999</v>
      </c>
      <c r="F9" s="3">
        <f t="shared" si="0"/>
        <v>1.9951111111111129E-3</v>
      </c>
    </row>
    <row r="10" spans="1:6" x14ac:dyDescent="0.3">
      <c r="A10" s="1" t="s">
        <v>14</v>
      </c>
      <c r="B10" s="1">
        <f t="shared" si="1"/>
        <v>2.4348999999999998E-3</v>
      </c>
      <c r="D10" s="8" t="s">
        <v>14</v>
      </c>
      <c r="E10" s="8">
        <f t="shared" si="2"/>
        <v>0.24340000000000001</v>
      </c>
      <c r="F10" s="3">
        <f t="shared" si="0"/>
        <v>3.0929084444444446E-2</v>
      </c>
    </row>
    <row r="11" spans="1:6" x14ac:dyDescent="0.3">
      <c r="A11" s="1" t="s">
        <v>15</v>
      </c>
      <c r="B11" s="1">
        <f t="shared" si="1"/>
        <v>9.1177640000000004E-2</v>
      </c>
      <c r="D11" s="8" t="s">
        <v>15</v>
      </c>
      <c r="E11" s="8">
        <f t="shared" si="2"/>
        <v>0.1177</v>
      </c>
      <c r="F11" s="3">
        <f t="shared" si="0"/>
        <v>9.0942454444444432E-2</v>
      </c>
    </row>
    <row r="12" spans="1:6" x14ac:dyDescent="0.3">
      <c r="A12" s="1" t="s">
        <v>16</v>
      </c>
      <c r="B12" s="1">
        <f t="shared" si="1"/>
        <v>2.8648179999999999E-2</v>
      </c>
      <c r="D12" s="8" t="s">
        <v>16</v>
      </c>
      <c r="E12" s="8">
        <f t="shared" si="2"/>
        <v>0.86480000000000001</v>
      </c>
      <c r="F12" s="3">
        <f t="shared" si="0"/>
        <v>0.1984999511111111</v>
      </c>
    </row>
    <row r="13" spans="1:6" x14ac:dyDescent="0.3">
      <c r="A13" s="1" t="s">
        <v>17</v>
      </c>
      <c r="B13" s="1">
        <f t="shared" si="1"/>
        <v>0.10178696</v>
      </c>
      <c r="D13" s="8" t="s">
        <v>17</v>
      </c>
      <c r="E13" s="8">
        <f t="shared" si="2"/>
        <v>0.17860000000000001</v>
      </c>
      <c r="F13" s="3">
        <f t="shared" si="0"/>
        <v>5.7920444444444448E-2</v>
      </c>
    </row>
    <row r="14" spans="1:6" x14ac:dyDescent="0.3">
      <c r="A14" s="1" t="s">
        <v>18</v>
      </c>
      <c r="B14" s="1">
        <f t="shared" si="1"/>
        <v>0.15445328</v>
      </c>
      <c r="D14" s="8" t="s">
        <v>18</v>
      </c>
      <c r="E14" s="8">
        <f t="shared" si="2"/>
        <v>0.44529999999999997</v>
      </c>
      <c r="F14" s="3">
        <f t="shared" si="0"/>
        <v>6.7773444444444255E-4</v>
      </c>
    </row>
    <row r="15" spans="1:6" ht="25.5" x14ac:dyDescent="0.35">
      <c r="D15" s="10" t="s">
        <v>4</v>
      </c>
      <c r="E15" s="10">
        <f>AVERAGE(E3:E14)</f>
        <v>0.41926666666666668</v>
      </c>
    </row>
    <row r="16" spans="1:6" ht="25.5" x14ac:dyDescent="0.35">
      <c r="D16" s="10" t="s">
        <v>6</v>
      </c>
      <c r="E16" s="10">
        <f>AVERAGE(F3:F14)</f>
        <v>6.6419028888888884E-2</v>
      </c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B3" sqref="B3"/>
    </sheetView>
  </sheetViews>
  <sheetFormatPr defaultRowHeight="20.25" x14ac:dyDescent="0.3"/>
  <cols>
    <col min="1" max="1" width="11.140625" style="2" customWidth="1"/>
    <col min="2" max="2" width="15.42578125" style="2" customWidth="1"/>
    <col min="3" max="3" width="4.140625" style="2" customWidth="1"/>
    <col min="4" max="4" width="15.42578125" style="2" customWidth="1"/>
    <col min="5" max="5" width="4" style="2" customWidth="1"/>
    <col min="6" max="6" width="16.140625" style="2" customWidth="1"/>
    <col min="7" max="7" width="5" style="2" customWidth="1"/>
    <col min="8" max="8" width="18.7109375" style="2" bestFit="1" customWidth="1"/>
    <col min="9" max="9" width="7.5703125" style="2" customWidth="1"/>
    <col min="10" max="10" width="16.7109375" style="2" customWidth="1"/>
    <col min="11" max="11" width="11" style="2" customWidth="1"/>
    <col min="12" max="12" width="20.85546875" style="2" customWidth="1"/>
    <col min="13" max="16384" width="9.140625" style="2"/>
  </cols>
  <sheetData>
    <row r="1" spans="1:12" x14ac:dyDescent="0.3">
      <c r="C1" s="9"/>
      <c r="D1" s="13" t="s">
        <v>26</v>
      </c>
      <c r="E1" s="9"/>
      <c r="F1" s="12" t="s">
        <v>27</v>
      </c>
      <c r="G1" s="9"/>
      <c r="H1" s="12" t="s">
        <v>31</v>
      </c>
      <c r="I1" s="9"/>
      <c r="J1" s="14" t="s">
        <v>29</v>
      </c>
      <c r="L1" s="1" t="s">
        <v>32</v>
      </c>
    </row>
    <row r="2" spans="1:12" x14ac:dyDescent="0.3">
      <c r="A2" s="12" t="s">
        <v>0</v>
      </c>
      <c r="B2" s="1">
        <v>12345678</v>
      </c>
      <c r="C2" s="9"/>
      <c r="D2" s="1">
        <f>MOD(B2,1000000)*100+QUOTIENT(B2,1000000)</f>
        <v>34567812</v>
      </c>
      <c r="E2" s="9"/>
      <c r="F2" s="1">
        <f>MOD(B2,100)*1000000+QUOTIENT(B2,100)</f>
        <v>78123456</v>
      </c>
      <c r="G2" s="9"/>
      <c r="H2" s="1">
        <f>D2+F2</f>
        <v>112691268</v>
      </c>
      <c r="I2" s="9"/>
      <c r="J2" s="8">
        <f>IF(H2&gt;10^8,QUOTIENT(H2,10),H2)/10^8</f>
        <v>0.11269126</v>
      </c>
      <c r="L2" s="1">
        <f>($J$13-J2)^2</f>
        <v>0.11062069788960995</v>
      </c>
    </row>
    <row r="3" spans="1:12" x14ac:dyDescent="0.3">
      <c r="A3" s="12" t="s">
        <v>28</v>
      </c>
      <c r="B3" s="1">
        <f>IF(H2&gt;10^8,QUOTIENT(H2,10),H2)</f>
        <v>11269126</v>
      </c>
      <c r="C3" s="9"/>
      <c r="D3" s="1">
        <f>MOD(B3,1000000)*100+QUOTIENT(B3,1000000)</f>
        <v>26912611</v>
      </c>
      <c r="E3" s="9"/>
      <c r="F3" s="1">
        <f>MOD(B3,100)*1000000+QUOTIENT(B3,100)</f>
        <v>26112691</v>
      </c>
      <c r="G3" s="9"/>
      <c r="H3" s="1">
        <f>D3+F3</f>
        <v>53025302</v>
      </c>
      <c r="I3" s="20"/>
      <c r="J3" s="8">
        <f t="shared" ref="J3:J12" si="0">IF(H3&gt;10^8,QUOTIENT(H3,10),H3)/10^8</f>
        <v>0.53025301999999996</v>
      </c>
      <c r="L3" s="1">
        <f t="shared" ref="L3:L12" si="1">($J$13-J3)^2</f>
        <v>7.2190274348196051E-3</v>
      </c>
    </row>
    <row r="4" spans="1:12" x14ac:dyDescent="0.3">
      <c r="A4" s="1"/>
      <c r="B4" s="1">
        <f>IF(H3&gt;10^8,QUOTIENT(H3,10),H3)</f>
        <v>53025302</v>
      </c>
      <c r="C4" s="9"/>
      <c r="D4" s="1">
        <f t="shared" ref="D4:D12" si="2">MOD(B4,1000000)*100+QUOTIENT(B4,1000000)</f>
        <v>2530253</v>
      </c>
      <c r="E4" s="9"/>
      <c r="F4" s="1">
        <f t="shared" ref="F4:F12" si="3">MOD(B4,100)*1000000+QUOTIENT(B4,100)</f>
        <v>2530253</v>
      </c>
      <c r="G4" s="9"/>
      <c r="H4" s="1">
        <f t="shared" ref="H4:H12" si="4">D4+F4</f>
        <v>5060506</v>
      </c>
      <c r="I4" s="20"/>
      <c r="J4" s="8">
        <f t="shared" si="0"/>
        <v>5.060506E-2</v>
      </c>
      <c r="L4" s="1">
        <f t="shared" si="1"/>
        <v>0.15577474942560995</v>
      </c>
    </row>
    <row r="5" spans="1:12" x14ac:dyDescent="0.3">
      <c r="A5" s="1"/>
      <c r="B5" s="1">
        <f t="shared" ref="B5:B12" si="5">IF(H4&gt;10^8,QUOTIENT(H4,10),H4)</f>
        <v>5060506</v>
      </c>
      <c r="C5" s="9"/>
      <c r="D5" s="1">
        <f t="shared" si="2"/>
        <v>6050605</v>
      </c>
      <c r="E5" s="9"/>
      <c r="F5" s="1">
        <f t="shared" si="3"/>
        <v>6050605</v>
      </c>
      <c r="G5" s="9"/>
      <c r="H5" s="1">
        <f t="shared" si="4"/>
        <v>12101210</v>
      </c>
      <c r="I5" s="20"/>
      <c r="J5" s="8">
        <f t="shared" si="0"/>
        <v>0.1210121</v>
      </c>
      <c r="L5" s="1">
        <f t="shared" si="1"/>
        <v>0.10515496308912355</v>
      </c>
    </row>
    <row r="6" spans="1:12" x14ac:dyDescent="0.3">
      <c r="A6" s="1"/>
      <c r="B6" s="1">
        <f t="shared" si="5"/>
        <v>12101210</v>
      </c>
      <c r="C6" s="9"/>
      <c r="D6" s="1">
        <f t="shared" si="2"/>
        <v>10121012</v>
      </c>
      <c r="E6" s="9"/>
      <c r="F6" s="1">
        <f t="shared" si="3"/>
        <v>10121012</v>
      </c>
      <c r="G6" s="9"/>
      <c r="H6" s="1">
        <f t="shared" si="4"/>
        <v>20242024</v>
      </c>
      <c r="I6" s="20"/>
      <c r="J6" s="8">
        <f t="shared" si="0"/>
        <v>0.20242024</v>
      </c>
      <c r="L6" s="1">
        <f t="shared" si="1"/>
        <v>5.8984826565126366E-2</v>
      </c>
    </row>
    <row r="7" spans="1:12" x14ac:dyDescent="0.3">
      <c r="A7" s="1"/>
      <c r="B7" s="1">
        <f t="shared" si="5"/>
        <v>20242024</v>
      </c>
      <c r="C7" s="9"/>
      <c r="D7" s="1">
        <f t="shared" si="2"/>
        <v>24202420</v>
      </c>
      <c r="E7" s="9"/>
      <c r="F7" s="1">
        <f t="shared" si="3"/>
        <v>24202420</v>
      </c>
      <c r="G7" s="9"/>
      <c r="H7" s="1">
        <f t="shared" si="4"/>
        <v>48404840</v>
      </c>
      <c r="I7" s="20"/>
      <c r="J7" s="8">
        <f t="shared" si="0"/>
        <v>0.48404839999999999</v>
      </c>
      <c r="L7" s="1">
        <f t="shared" si="1"/>
        <v>1.5023562048576045E-3</v>
      </c>
    </row>
    <row r="8" spans="1:12" x14ac:dyDescent="0.3">
      <c r="A8" s="1"/>
      <c r="B8" s="1">
        <f t="shared" si="5"/>
        <v>48404840</v>
      </c>
      <c r="C8" s="9"/>
      <c r="D8" s="1">
        <f t="shared" si="2"/>
        <v>40484048</v>
      </c>
      <c r="E8" s="9"/>
      <c r="F8" s="1">
        <f t="shared" si="3"/>
        <v>40484048</v>
      </c>
      <c r="G8" s="9"/>
      <c r="H8" s="1">
        <f t="shared" si="4"/>
        <v>80968096</v>
      </c>
      <c r="I8" s="20"/>
      <c r="J8" s="8">
        <f t="shared" si="0"/>
        <v>0.80968096000000001</v>
      </c>
      <c r="L8" s="1">
        <f t="shared" si="1"/>
        <v>0.13278211269184007</v>
      </c>
    </row>
    <row r="9" spans="1:12" x14ac:dyDescent="0.3">
      <c r="A9" s="1"/>
      <c r="B9" s="1">
        <f>IF(H8&gt;10^8,QUOTIENT(H8,10),H8)</f>
        <v>80968096</v>
      </c>
      <c r="C9" s="9"/>
      <c r="D9" s="1">
        <f t="shared" si="2"/>
        <v>96809680</v>
      </c>
      <c r="E9" s="9"/>
      <c r="F9" s="1">
        <f t="shared" si="3"/>
        <v>96809680</v>
      </c>
      <c r="G9" s="9"/>
      <c r="H9" s="1">
        <f t="shared" si="4"/>
        <v>193619360</v>
      </c>
      <c r="I9" s="20"/>
      <c r="J9" s="8">
        <f t="shared" si="0"/>
        <v>0.19361935999999999</v>
      </c>
      <c r="L9" s="1">
        <f t="shared" si="1"/>
        <v>6.3337184893439952E-2</v>
      </c>
    </row>
    <row r="10" spans="1:12" x14ac:dyDescent="0.3">
      <c r="A10" s="1"/>
      <c r="B10" s="1">
        <f t="shared" si="5"/>
        <v>19361936</v>
      </c>
      <c r="C10" s="9"/>
      <c r="D10" s="1">
        <f t="shared" si="2"/>
        <v>36193619</v>
      </c>
      <c r="E10" s="9"/>
      <c r="F10" s="1">
        <f t="shared" si="3"/>
        <v>36193619</v>
      </c>
      <c r="G10" s="9"/>
      <c r="H10" s="1">
        <f t="shared" si="4"/>
        <v>72387238</v>
      </c>
      <c r="I10" s="20"/>
      <c r="J10" s="8">
        <f t="shared" si="0"/>
        <v>0.72387237999999998</v>
      </c>
      <c r="L10" s="1">
        <f t="shared" si="1"/>
        <v>7.760916763300843E-2</v>
      </c>
    </row>
    <row r="11" spans="1:12" x14ac:dyDescent="0.3">
      <c r="A11" s="1"/>
      <c r="B11" s="1">
        <f t="shared" si="5"/>
        <v>72387238</v>
      </c>
      <c r="C11" s="9"/>
      <c r="D11" s="1">
        <f t="shared" si="2"/>
        <v>38723872</v>
      </c>
      <c r="E11" s="9"/>
      <c r="F11" s="1">
        <f t="shared" si="3"/>
        <v>38723872</v>
      </c>
      <c r="G11" s="9"/>
      <c r="H11" s="1">
        <f t="shared" si="4"/>
        <v>77447744</v>
      </c>
      <c r="I11" s="20"/>
      <c r="J11" s="8">
        <f t="shared" si="0"/>
        <v>0.77447743999999996</v>
      </c>
      <c r="L11" s="1">
        <f t="shared" si="1"/>
        <v>0.10836558206691842</v>
      </c>
    </row>
    <row r="12" spans="1:12" x14ac:dyDescent="0.3">
      <c r="A12" s="1"/>
      <c r="B12" s="1">
        <f t="shared" si="5"/>
        <v>77447744</v>
      </c>
      <c r="C12" s="9"/>
      <c r="D12" s="1">
        <f t="shared" si="2"/>
        <v>44774477</v>
      </c>
      <c r="E12" s="9"/>
      <c r="F12" s="1">
        <f t="shared" si="3"/>
        <v>44774477</v>
      </c>
      <c r="G12" s="9"/>
      <c r="H12" s="1">
        <f t="shared" si="4"/>
        <v>89548954</v>
      </c>
      <c r="I12" s="20"/>
      <c r="J12" s="8">
        <f t="shared" si="0"/>
        <v>0.89548954000000003</v>
      </c>
      <c r="L12" s="1">
        <f t="shared" si="1"/>
        <v>0.2026812825539045</v>
      </c>
    </row>
    <row r="13" spans="1:12" ht="25.5" x14ac:dyDescent="0.35">
      <c r="I13" s="16" t="s">
        <v>30</v>
      </c>
      <c r="J13" s="19">
        <f>AVERAGE(J2:J12)</f>
        <v>0.44528815999999993</v>
      </c>
      <c r="K13" s="17" t="s">
        <v>6</v>
      </c>
      <c r="L13" s="18">
        <f>AVERAGE(L2:L12)</f>
        <v>9.309381367711439E-2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I19" sqref="I19"/>
    </sheetView>
  </sheetViews>
  <sheetFormatPr defaultRowHeight="20.25" x14ac:dyDescent="0.3"/>
  <cols>
    <col min="1" max="1" width="37.28515625" style="2" customWidth="1"/>
    <col min="2" max="2" width="23.140625" style="2" customWidth="1"/>
    <col min="3" max="3" width="9.140625" style="2"/>
    <col min="4" max="4" width="15.5703125" style="2" bestFit="1" customWidth="1"/>
    <col min="5" max="5" width="18.7109375" style="2" bestFit="1" customWidth="1"/>
    <col min="6" max="6" width="9.140625" style="2"/>
    <col min="7" max="7" width="15.42578125" style="2" customWidth="1"/>
    <col min="8" max="8" width="13.85546875" style="2" customWidth="1"/>
    <col min="9" max="9" width="14.85546875" style="2" customWidth="1"/>
    <col min="10" max="16384" width="9.140625" style="2"/>
  </cols>
  <sheetData>
    <row r="1" spans="1:9" ht="26.25" x14ac:dyDescent="0.3">
      <c r="A1" s="21" t="s">
        <v>38</v>
      </c>
    </row>
    <row r="2" spans="1:9" ht="22.5" x14ac:dyDescent="0.3">
      <c r="A2" s="26" t="s">
        <v>33</v>
      </c>
      <c r="B2" s="26">
        <f>2^31-1</f>
        <v>2147483647</v>
      </c>
      <c r="C2" s="27"/>
      <c r="D2" s="28" t="s">
        <v>34</v>
      </c>
      <c r="E2" s="26">
        <v>1220703125</v>
      </c>
      <c r="F2" s="27"/>
      <c r="G2" s="28" t="s">
        <v>35</v>
      </c>
      <c r="H2" s="26">
        <v>7</v>
      </c>
    </row>
    <row r="3" spans="1:9" ht="22.5" x14ac:dyDescent="0.3">
      <c r="A3" s="29" t="s">
        <v>0</v>
      </c>
      <c r="B3" s="26">
        <v>7</v>
      </c>
      <c r="D3" s="15" t="s">
        <v>39</v>
      </c>
      <c r="E3" s="15"/>
      <c r="G3" s="5" t="s">
        <v>37</v>
      </c>
      <c r="I3" s="3" t="s">
        <v>40</v>
      </c>
    </row>
    <row r="4" spans="1:9" x14ac:dyDescent="0.3">
      <c r="A4" s="11" t="s">
        <v>36</v>
      </c>
      <c r="B4" s="1">
        <f>MOD($E$2*B3+$H$2,$B$2)</f>
        <v>2102470941</v>
      </c>
      <c r="D4" s="15">
        <f>IF(B4&gt;10^8, QUOTIENT(B4,10),B4  )</f>
        <v>210247094</v>
      </c>
      <c r="E4" s="15">
        <f>IF(D4&gt;10^8, QUOTIENT(D4,10),D4)</f>
        <v>21024709</v>
      </c>
      <c r="G4" s="5">
        <f>E4/10^8</f>
        <v>0.21024709</v>
      </c>
      <c r="I4" s="3">
        <f>($G$16-G4)^2</f>
        <v>4.8072590949315007E-2</v>
      </c>
    </row>
    <row r="5" spans="1:9" x14ac:dyDescent="0.3">
      <c r="A5" s="11" t="s">
        <v>19</v>
      </c>
      <c r="B5" s="1">
        <f t="shared" ref="B5:B22" si="0">MOD($E$2*B4+$H$2,$B$2)</f>
        <v>2095774539</v>
      </c>
      <c r="D5" s="15">
        <f t="shared" ref="D5:D15" si="1">IF(B5&gt;10^8, QUOTIENT(B5,10),B5  )</f>
        <v>209577453</v>
      </c>
      <c r="E5" s="15">
        <f t="shared" ref="E5:E15" si="2">IF(D5&gt;10^8, QUOTIENT(D5,10),D5  )</f>
        <v>20957745</v>
      </c>
      <c r="G5" s="5">
        <f t="shared" ref="G5:G15" si="3">E5/10^8</f>
        <v>0.20957745</v>
      </c>
      <c r="I5" s="3">
        <f t="shared" ref="I5:I15" si="4">($G$16-G5)^2</f>
        <v>4.8366682702330674E-2</v>
      </c>
    </row>
    <row r="6" spans="1:9" x14ac:dyDescent="0.3">
      <c r="A6" s="11" t="s">
        <v>20</v>
      </c>
      <c r="B6" s="1">
        <f t="shared" si="0"/>
        <v>293529164</v>
      </c>
      <c r="D6" s="15">
        <f t="shared" si="1"/>
        <v>29352916</v>
      </c>
      <c r="E6" s="15">
        <f t="shared" si="2"/>
        <v>29352916</v>
      </c>
      <c r="G6" s="5">
        <f t="shared" si="3"/>
        <v>0.29352916000000001</v>
      </c>
      <c r="I6" s="3">
        <f t="shared" si="4"/>
        <v>1.8488535939848953E-2</v>
      </c>
    </row>
    <row r="7" spans="1:9" x14ac:dyDescent="0.3">
      <c r="A7" s="11" t="s">
        <v>21</v>
      </c>
      <c r="B7" s="1">
        <f t="shared" si="0"/>
        <v>534389740</v>
      </c>
      <c r="D7" s="15">
        <f t="shared" si="1"/>
        <v>53438974</v>
      </c>
      <c r="E7" s="15">
        <f t="shared" si="2"/>
        <v>53438974</v>
      </c>
      <c r="G7" s="5">
        <f t="shared" si="3"/>
        <v>0.53438973999999995</v>
      </c>
      <c r="I7" s="3">
        <f t="shared" si="4"/>
        <v>1.1001497613587236E-2</v>
      </c>
    </row>
    <row r="8" spans="1:9" x14ac:dyDescent="0.3">
      <c r="A8" s="11" t="s">
        <v>22</v>
      </c>
      <c r="B8" s="1">
        <f t="shared" si="0"/>
        <v>856491030</v>
      </c>
      <c r="D8" s="15">
        <f t="shared" si="1"/>
        <v>85649103</v>
      </c>
      <c r="E8" s="15">
        <f t="shared" si="2"/>
        <v>85649103</v>
      </c>
      <c r="G8" s="5">
        <f t="shared" si="3"/>
        <v>0.85649103000000004</v>
      </c>
      <c r="I8" s="3">
        <f t="shared" si="4"/>
        <v>0.1823198744125204</v>
      </c>
    </row>
    <row r="9" spans="1:9" x14ac:dyDescent="0.3">
      <c r="A9" s="11" t="s">
        <v>23</v>
      </c>
      <c r="B9" s="1">
        <f t="shared" si="0"/>
        <v>1964647199</v>
      </c>
      <c r="D9" s="15">
        <f t="shared" si="1"/>
        <v>196464719</v>
      </c>
      <c r="E9" s="15">
        <f t="shared" si="2"/>
        <v>19646471</v>
      </c>
      <c r="G9" s="5">
        <f t="shared" si="3"/>
        <v>0.19646470999999999</v>
      </c>
      <c r="I9" s="3">
        <f t="shared" si="4"/>
        <v>5.4306246087765048E-2</v>
      </c>
    </row>
    <row r="10" spans="1:9" x14ac:dyDescent="0.3">
      <c r="A10" s="11" t="s">
        <v>12</v>
      </c>
      <c r="B10" s="1">
        <f t="shared" si="0"/>
        <v>2114713372</v>
      </c>
      <c r="D10" s="15">
        <f t="shared" si="1"/>
        <v>211471337</v>
      </c>
      <c r="E10" s="15">
        <f t="shared" si="2"/>
        <v>21147133</v>
      </c>
      <c r="G10" s="5">
        <f t="shared" si="3"/>
        <v>0.21147133000000001</v>
      </c>
      <c r="I10" s="3">
        <f t="shared" si="4"/>
        <v>4.7537249146632203E-2</v>
      </c>
    </row>
    <row r="11" spans="1:9" x14ac:dyDescent="0.3">
      <c r="A11" s="11" t="s">
        <v>13</v>
      </c>
      <c r="B11" s="1">
        <f t="shared" si="0"/>
        <v>668376820</v>
      </c>
      <c r="D11" s="15">
        <f t="shared" si="1"/>
        <v>66837682</v>
      </c>
      <c r="E11" s="15">
        <f t="shared" si="2"/>
        <v>66837682</v>
      </c>
      <c r="G11" s="5">
        <f t="shared" si="3"/>
        <v>0.66837681999999998</v>
      </c>
      <c r="I11" s="3">
        <f t="shared" si="4"/>
        <v>5.7061315390635831E-2</v>
      </c>
    </row>
    <row r="12" spans="1:9" x14ac:dyDescent="0.3">
      <c r="A12" s="11" t="s">
        <v>14</v>
      </c>
      <c r="B12" s="1">
        <f t="shared" si="0"/>
        <v>1155489451</v>
      </c>
      <c r="D12" s="15">
        <f t="shared" si="1"/>
        <v>115548945</v>
      </c>
      <c r="E12" s="15">
        <f t="shared" si="2"/>
        <v>11554894</v>
      </c>
      <c r="G12" s="5">
        <f t="shared" si="3"/>
        <v>0.11554894</v>
      </c>
      <c r="I12" s="3">
        <f t="shared" si="4"/>
        <v>9.8566345453455273E-2</v>
      </c>
    </row>
    <row r="13" spans="1:9" x14ac:dyDescent="0.3">
      <c r="A13" s="11" t="s">
        <v>15</v>
      </c>
      <c r="B13" s="1">
        <f t="shared" si="0"/>
        <v>1782919420</v>
      </c>
      <c r="D13" s="15">
        <f t="shared" si="1"/>
        <v>178291942</v>
      </c>
      <c r="E13" s="15">
        <f t="shared" si="2"/>
        <v>17829194</v>
      </c>
      <c r="G13" s="5">
        <f t="shared" si="3"/>
        <v>0.17829194000000001</v>
      </c>
      <c r="I13" s="3">
        <f t="shared" si="4"/>
        <v>6.3106351474233602E-2</v>
      </c>
    </row>
    <row r="14" spans="1:9" x14ac:dyDescent="0.3">
      <c r="A14" s="11" t="s">
        <v>16</v>
      </c>
      <c r="B14" s="1">
        <f t="shared" si="0"/>
        <v>715592546</v>
      </c>
      <c r="D14" s="15">
        <f t="shared" si="1"/>
        <v>71559254</v>
      </c>
      <c r="E14" s="15">
        <f t="shared" si="2"/>
        <v>71559254</v>
      </c>
      <c r="G14" s="5">
        <f t="shared" si="3"/>
        <v>0.71559254000000005</v>
      </c>
      <c r="I14" s="3">
        <f t="shared" si="4"/>
        <v>8.1847959672362608E-2</v>
      </c>
    </row>
    <row r="15" spans="1:9" x14ac:dyDescent="0.3">
      <c r="A15" s="11" t="s">
        <v>17</v>
      </c>
      <c r="B15" s="1">
        <f t="shared" si="0"/>
        <v>964039844</v>
      </c>
      <c r="D15" s="15">
        <f t="shared" si="1"/>
        <v>96403984</v>
      </c>
      <c r="E15" s="15">
        <f t="shared" si="2"/>
        <v>96403984</v>
      </c>
      <c r="G15" s="5">
        <f t="shared" si="3"/>
        <v>0.96403983999999998</v>
      </c>
      <c r="I15" s="3">
        <f t="shared" si="4"/>
        <v>0.28573100618761876</v>
      </c>
    </row>
    <row r="16" spans="1:9" ht="23.25" x14ac:dyDescent="0.35">
      <c r="F16" s="22" t="s">
        <v>30</v>
      </c>
      <c r="G16" s="24">
        <f>AVERAGE(G4:G15)</f>
        <v>0.42950171583333335</v>
      </c>
      <c r="H16" s="23" t="s">
        <v>6</v>
      </c>
      <c r="I16" s="25">
        <f>AVERAGE(I4:I15)</f>
        <v>8.3033804585858795E-2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Метод серединных квадратов</vt:lpstr>
      <vt:lpstr>Метод серединных п произведений</vt:lpstr>
      <vt:lpstr>Метод  перемешивания</vt:lpstr>
      <vt:lpstr>Линейный  конгруэнтный  метод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2020-01-05T15:33:22Z</dcterms:modified>
</cp:coreProperties>
</file>